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요령" sheetId="1" state="visible" r:id="rId3"/>
    <sheet name="검토서" sheetId="2" state="visible" r:id="rId4"/>
    <sheet name="기술제안서" sheetId="3" state="visible" r:id="rId5"/>
    <sheet name="설계" sheetId="4" state="visible" r:id="rId6"/>
    <sheet name="시공" sheetId="5" state="visible" r:id="rId7"/>
    <sheet name="시운전" sheetId="6" state="visible" r:id="rId8"/>
    <sheet name="변경내역" sheetId="7" state="visible" r:id="rId9"/>
  </sheets>
  <definedNames>
    <definedName function="false" hidden="false" localSheetId="1" name="_xlnm.Print_Area" vbProcedure="false">검토서!$A$1:$H$117</definedName>
    <definedName function="false" hidden="false" localSheetId="1" name="_xlnm.Print_Titles" vbProcedure="false">검토서!$1:$1</definedName>
    <definedName function="false" hidden="false" localSheetId="2" name="_xlnm.Print_Area" vbProcedure="false">기술제안서!$A$1:$G$36</definedName>
    <definedName function="false" hidden="false" localSheetId="3" name="_xlnm.Print_Titles" vbProcedure="false">설계!$4:$4</definedName>
    <definedName function="false" hidden="false" localSheetId="4" name="_xlnm.Print_Area" vbProcedure="false">시공!$A$1:$E$26</definedName>
    <definedName function="false" hidden="false" localSheetId="4" name="_xlnm.Print_Titles" vbProcedure="false">시공!$4:$4</definedName>
    <definedName function="false" hidden="false" localSheetId="5" name="_xlnm.Print_Area" vbProcedure="false">시운전!$A$1:$E$47</definedName>
    <definedName function="false" hidden="false" localSheetId="5" name="_xlnm.Print_Titles" vbProcedure="false">시운전!$4:$4</definedName>
  </definedNames>
  <calcPr iterateCount="10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Noto Sans CJK SC"/>
            <family val="2"/>
          </rPr>
          <t xml:space="preserve">평균유량 기준 기본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다르면 수정하세요</t>
        </r>
        <r>
          <rPr>
            <sz val="10"/>
            <rFont val="Arial"/>
            <family val="2"/>
          </rPr>
          <t xml:space="preserve">. Q/Cycle</t>
        </r>
        <r>
          <rPr>
            <sz val="10"/>
            <rFont val="Noto Sans CJK SC"/>
            <family val="2"/>
          </rPr>
          <t xml:space="preserve">이 다시 계산됩니다</t>
        </r>
        <r>
          <rPr>
            <sz val="10"/>
            <rFont val="Arial"/>
            <family val="2"/>
          </rPr>
          <t xml:space="preserve">.</t>
        </r>
      </text>
    </comment>
    <comment ref="C18" authorId="0">
      <text>
        <r>
          <rPr>
            <sz val="10"/>
            <rFont val="Noto Sans CJK SC"/>
            <family val="2"/>
          </rPr>
          <t xml:space="preserve">평균유량 기준 기본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다르면 수정하세요</t>
        </r>
        <r>
          <rPr>
            <sz val="10"/>
            <rFont val="Arial"/>
            <family val="2"/>
          </rPr>
          <t xml:space="preserve">. Q/Cycle</t>
        </r>
        <r>
          <rPr>
            <sz val="10"/>
            <rFont val="Noto Sans CJK SC"/>
            <family val="2"/>
          </rPr>
          <t xml:space="preserve">이 다시 계산됩니다</t>
        </r>
        <r>
          <rPr>
            <sz val="10"/>
            <rFont val="Arial"/>
            <family val="2"/>
          </rPr>
          <t xml:space="preserve">.</t>
        </r>
      </text>
    </comment>
    <comment ref="C40" authorId="0">
      <text>
        <r>
          <rPr>
            <sz val="10"/>
            <rFont val="Arial"/>
            <family val="2"/>
          </rPr>
          <t xml:space="preserve">HWL</t>
        </r>
        <r>
          <rPr>
            <sz val="10"/>
            <rFont val="Noto Sans CJK SC"/>
            <family val="2"/>
          </rPr>
          <t xml:space="preserve">은 운전수위 상단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수심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유효용량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가로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세로 </t>
        </r>
        <r>
          <rPr>
            <sz val="10"/>
            <rFont val="Arial"/>
            <family val="2"/>
          </rPr>
          <t xml:space="preserve">× HWL.</t>
        </r>
      </text>
    </comment>
    <comment ref="C47" authorId="0">
      <text>
        <r>
          <rPr>
            <sz val="10"/>
            <rFont val="Noto Sans CJK SC"/>
            <family val="2"/>
          </rPr>
          <t xml:space="preserve">슬리브 구경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배출장치 구경인지</t>
        </r>
        <r>
          <rPr>
            <sz val="10"/>
            <rFont val="Arial"/>
            <family val="2"/>
          </rPr>
          <t xml:space="preserve">, BOP </t>
        </r>
        <r>
          <rPr>
            <sz val="10"/>
            <rFont val="Noto Sans CJK SC"/>
            <family val="2"/>
          </rPr>
          <t xml:space="preserve">레벨이 도면에 표기됐는지 확인</t>
        </r>
        <r>
          <rPr>
            <sz val="10"/>
            <rFont val="Arial"/>
            <family val="2"/>
          </rPr>
          <t xml:space="preserve">.</t>
        </r>
      </text>
    </comment>
    <comment ref="C51" authorId="0">
      <text>
        <r>
          <rPr>
            <sz val="10"/>
            <rFont val="Noto Sans CJK SC"/>
            <family val="2"/>
          </rPr>
          <t xml:space="preserve">도면 기준 </t>
        </r>
        <r>
          <rPr>
            <sz val="10"/>
            <rFont val="Arial"/>
            <family val="2"/>
          </rPr>
          <t xml:space="preserve">kW. </t>
        </r>
        <r>
          <rPr>
            <sz val="10"/>
            <rFont val="Noto Sans CJK SC"/>
            <family val="2"/>
          </rPr>
          <t xml:space="preserve">시방서 </t>
        </r>
        <r>
          <rPr>
            <sz val="10"/>
            <rFont val="Arial"/>
            <family val="2"/>
          </rPr>
          <t xml:space="preserve">kW</t>
        </r>
        <r>
          <rPr>
            <sz val="10"/>
            <rFont val="Noto Sans CJK SC"/>
            <family val="2"/>
          </rPr>
          <t xml:space="preserve">는 아래 행에 입력하면 일치 여부가 자동 판정됩니다</t>
        </r>
        <r>
          <rPr>
            <sz val="10"/>
            <rFont val="Arial"/>
            <family val="2"/>
          </rPr>
          <t xml:space="preserve">.</t>
        </r>
      </text>
    </comment>
    <comment ref="C58" authorId="0">
      <text>
        <r>
          <rPr>
            <sz val="10"/>
            <rFont val="Noto Sans CJK SC"/>
            <family val="2"/>
          </rPr>
          <t xml:space="preserve">배출유량</t>
        </r>
        <r>
          <rPr>
            <sz val="10"/>
            <rFont val="Arial"/>
            <family val="2"/>
          </rPr>
          <t xml:space="preserve">(L/s). </t>
        </r>
        <r>
          <rPr>
            <sz val="10"/>
            <rFont val="Noto Sans CJK SC"/>
            <family val="2"/>
          </rPr>
          <t xml:space="preserve">배출소요시간 </t>
        </r>
        <r>
          <rPr>
            <sz val="10"/>
            <rFont val="Arial"/>
            <family val="2"/>
          </rPr>
          <t xml:space="preserve">= Q/Cycle ÷ (</t>
        </r>
        <r>
          <rPr>
            <sz val="10"/>
            <rFont val="Noto Sans CJK SC"/>
            <family val="2"/>
          </rPr>
          <t xml:space="preserve">배출유량 </t>
        </r>
        <r>
          <rPr>
            <sz val="10"/>
            <rFont val="Arial"/>
            <family val="2"/>
          </rPr>
          <t xml:space="preserve">× 3.6).</t>
        </r>
      </text>
    </comment>
    <comment ref="C62" authorId="0">
      <text>
        <r>
          <rPr>
            <sz val="10"/>
            <rFont val="Noto Sans CJK SC"/>
            <family val="2"/>
          </rPr>
          <t xml:space="preserve">배출유량</t>
        </r>
        <r>
          <rPr>
            <sz val="10"/>
            <rFont val="Arial"/>
            <family val="2"/>
          </rPr>
          <t xml:space="preserve">(L/s). </t>
        </r>
        <r>
          <rPr>
            <sz val="10"/>
            <rFont val="Noto Sans CJK SC"/>
            <family val="2"/>
          </rPr>
          <t xml:space="preserve">배출소요시간 </t>
        </r>
        <r>
          <rPr>
            <sz val="10"/>
            <rFont val="Arial"/>
            <family val="2"/>
          </rPr>
          <t xml:space="preserve">= Q/Cycle ÷ (</t>
        </r>
        <r>
          <rPr>
            <sz val="10"/>
            <rFont val="Noto Sans CJK SC"/>
            <family val="2"/>
          </rPr>
          <t xml:space="preserve">배출유량 </t>
        </r>
        <r>
          <rPr>
            <sz val="10"/>
            <rFont val="Arial"/>
            <family val="2"/>
          </rPr>
          <t xml:space="preserve">× 3.6).</t>
        </r>
      </text>
    </comment>
    <comment ref="C74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차 전원 공급 용량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아래 동력부하보다 작으면 부적합으로 표시됩니다</t>
        </r>
        <r>
          <rPr>
            <sz val="10"/>
            <rFont val="Arial"/>
            <family val="2"/>
          </rPr>
          <t xml:space="preserve">.</t>
        </r>
      </text>
    </comment>
    <comment ref="C76" authorId="0">
      <text>
        <r>
          <rPr>
            <sz val="10"/>
            <rFont val="Noto Sans CJK SC"/>
            <family val="2"/>
          </rPr>
          <t xml:space="preserve">구간별 거리를 </t>
        </r>
        <r>
          <rPr>
            <sz val="10"/>
            <rFont val="Arial"/>
            <family val="2"/>
          </rPr>
          <t xml:space="preserve">=20+8+20 </t>
        </r>
        <r>
          <rPr>
            <sz val="10"/>
            <rFont val="Noto Sans CJK SC"/>
            <family val="2"/>
          </rPr>
          <t xml:space="preserve">처럼 수식으로 입력해도 됩니다</t>
        </r>
        <r>
          <rPr>
            <sz val="10"/>
            <rFont val="Arial"/>
            <family val="2"/>
          </rPr>
          <t xml:space="preserve">.</t>
        </r>
      </text>
    </comment>
    <comment ref="C94" authorId="0">
      <text>
        <r>
          <rPr>
            <sz val="10"/>
            <rFont val="Noto Sans CJK SC"/>
            <family val="2"/>
          </rPr>
          <t xml:space="preserve">처리수조 → 총인설비 이송펌프 용량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㎥</t>
        </r>
        <r>
          <rPr>
            <sz val="10"/>
            <rFont val="Arial"/>
            <family val="2"/>
          </rPr>
          <t xml:space="preserve">/min). </t>
        </r>
        <r>
          <rPr>
            <sz val="10"/>
            <rFont val="Noto Sans CJK SC"/>
            <family val="2"/>
          </rPr>
          <t xml:space="preserve">사이클당 유입시간 계산에 사용됩니다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<sst xmlns="http://schemas.openxmlformats.org/spreadsheetml/2006/main" count="764" uniqueCount="547">
  <si>
    <r>
      <rPr>
        <b val="true"/>
        <sz val="16"/>
        <color rgb="FFFFFFFF"/>
        <rFont val="맑은 고딕"/>
        <family val="3"/>
        <charset val="129"/>
      </rPr>
      <t xml:space="preserve">Project </t>
    </r>
    <r>
      <rPr>
        <b val="true"/>
        <sz val="16"/>
        <color rgb="FFFFFFFF"/>
        <rFont val="Noto Sans CJK SC"/>
        <family val="2"/>
      </rPr>
      <t xml:space="preserve">체크리스트 작성요령 </t>
    </r>
    <r>
      <rPr>
        <b val="true"/>
        <sz val="16"/>
        <color rgb="FFFFFFFF"/>
        <rFont val="맑은 고딕"/>
        <family val="3"/>
        <charset val="129"/>
      </rPr>
      <t xml:space="preserve">(</t>
    </r>
    <r>
      <rPr>
        <b val="true"/>
        <sz val="16"/>
        <color rgb="FFFFFFFF"/>
        <rFont val="Noto Sans CJK SC"/>
        <family val="2"/>
      </rPr>
      <t xml:space="preserve">설계성과품 기술검토</t>
    </r>
    <r>
      <rPr>
        <b val="true"/>
        <sz val="16"/>
        <color rgb="FFFFFFFF"/>
        <rFont val="맑은 고딕"/>
        <family val="3"/>
        <charset val="129"/>
      </rPr>
      <t xml:space="preserve">)</t>
    </r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</si>
  <si>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Noto Sans CJK SC"/>
        <family val="2"/>
      </rPr>
      <t xml:space="preserve">시트 구성</t>
    </r>
  </si>
  <si>
    <t xml:space="preserve">시트</t>
  </si>
  <si>
    <t xml:space="preserve">용도</t>
  </si>
  <si>
    <t xml:space="preserve">입력 위치</t>
  </si>
  <si>
    <t xml:space="preserve">비고</t>
  </si>
  <si>
    <t xml:space="preserve">작성요령</t>
  </si>
  <si>
    <t xml:space="preserve">이 시트. 사용 순서 · 색상 · 판정 기준 · 작성 예시</t>
  </si>
  <si>
    <t xml:space="preserve">-</t>
  </si>
  <si>
    <t xml:space="preserve">검토서</t>
  </si>
  <si>
    <t xml:space="preserve">설계성과품 기술검토 한 장: 설계 사양 입력 + 점검 + 판정 + 검토의견 + 요청사항 (1~7번 섹션)</t>
  </si>
  <si>
    <r>
      <rPr>
        <sz val="10"/>
        <rFont val="맑은 고딕"/>
        <family val="3"/>
        <charset val="129"/>
      </rPr>
      <t xml:space="preserve">D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도서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도면 값</t>
    </r>
    <r>
      <rPr>
        <sz val="10"/>
        <rFont val="맑은 고딕"/>
        <family val="3"/>
        <charset val="129"/>
      </rPr>
      <t xml:space="preserve">), F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3"/>
        <charset val="129"/>
      </rPr>
      <t xml:space="preserve">), G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검토의견</t>
    </r>
    <r>
      <rPr>
        <sz val="10"/>
        <rFont val="맑은 고딕"/>
        <family val="3"/>
        <charset val="129"/>
      </rPr>
      <t xml:space="preserve">)</t>
    </r>
  </si>
  <si>
    <t xml:space="preserve">계약 · 견적 · 금액 항목은 포함하지 않음 (기술검토 전용)</t>
  </si>
  <si>
    <t xml:space="preserve">기술제안서 / 설계 / 시공 / 시운전</t>
  </si>
  <si>
    <t xml:space="preserve">단계별 재검토 Check List. 상세 기술검토는 [검토서]에서 한 번만 하고, 단계 시트는 단계 고유 항목과 이전 단계 결과 재확인만 담음. 설계 시트의 "실시설계" 열은 [검토서] 입력값으로 자동 채워짐</t>
  </si>
  <si>
    <t xml:space="preserve">설계: 기술제안 내용 · 비고</t>
  </si>
  <si>
    <t xml:space="preserve">시공 상단: 검토서 미해소 · 설계변경 건수 자동 / 시운전 상단: 시공 미완료(×) 건수 자동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</si>
  <si>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Noto Sans CJK SC"/>
        <family val="2"/>
      </rPr>
      <t xml:space="preserve">사용 순서</t>
    </r>
  </si>
  <si>
    <t xml:space="preserve">단계</t>
  </si>
  <si>
    <t xml:space="preserve">할 일</t>
  </si>
  <si>
    <t xml:space="preserve">확인할 것</t>
  </si>
  <si>
    <t xml:space="preserve">① 상단 정보</t>
  </si>
  <si>
    <t xml:space="preserve">현장명 · 설계사 · 검토일/검토자 · 처리공정 입력. 1번 섹션 '공급펌프 유입시간 기준' 칸(기본 90분) 확인</t>
  </si>
  <si>
    <t xml:space="preserve">현장명을 넣으면 제목에 자동 표시</t>
  </si>
  <si>
    <r>
      <rPr>
        <sz val="10"/>
        <rFont val="맑은 고딕"/>
        <family val="3"/>
        <charset val="129"/>
      </rPr>
      <t xml:space="preserve">② 1~5</t>
    </r>
    <r>
      <rPr>
        <sz val="10"/>
        <rFont val="Noto Sans CJK SC"/>
        <family val="2"/>
      </rPr>
      <t xml:space="preserve">번 섹션</t>
    </r>
  </si>
  <si>
    <r>
      <rPr>
        <sz val="10"/>
        <rFont val="맑은 고딕"/>
        <family val="3"/>
        <charset val="129"/>
      </rPr>
      <t xml:space="preserve">D</t>
    </r>
    <r>
      <rPr>
        <sz val="10"/>
        <rFont val="Noto Sans CJK SC"/>
        <family val="2"/>
      </rPr>
      <t xml:space="preserve">열에 도서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도면 값을 입력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숫자는 단위 열과 맞춰서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 xml:space="preserve">계산이 필요한 값</t>
    </r>
    <r>
      <rPr>
        <sz val="10"/>
        <rFont val="맑은 고딕"/>
        <family val="3"/>
        <charset val="129"/>
      </rPr>
      <t xml:space="preserve">(Q/Cycle, </t>
    </r>
    <r>
      <rPr>
        <sz val="10"/>
        <rFont val="Noto Sans CJK SC"/>
        <family val="2"/>
      </rPr>
      <t xml:space="preserve">유효용량</t>
    </r>
    <r>
      <rPr>
        <sz val="10"/>
        <rFont val="맑은 고딕"/>
        <family val="3"/>
        <charset val="129"/>
      </rPr>
      <t xml:space="preserve">, HRT, </t>
    </r>
    <r>
      <rPr>
        <sz val="10"/>
        <rFont val="Noto Sans CJK SC"/>
        <family val="2"/>
      </rPr>
      <t xml:space="preserve">유입시간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배출량 등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은 자동</t>
    </r>
  </si>
  <si>
    <t xml:space="preserve">초록색 칸은 입력하지 않음</t>
  </si>
  <si>
    <t xml:space="preserve">③ 판정 · 검토의견</t>
  </si>
  <si>
    <t xml:space="preserve">점검 행마다 F열에서 확인/검토/부적합 선택 후 G열에 의견 기재. 자동 판정 행은 F·G가 채워짐</t>
  </si>
  <si>
    <t xml:space="preserve">판정이 비어 있으면 "미작성"으로 집계</t>
  </si>
  <si>
    <r>
      <rPr>
        <sz val="10"/>
        <rFont val="맑은 고딕"/>
        <family val="3"/>
        <charset val="129"/>
      </rPr>
      <t xml:space="preserve">④ 7</t>
    </r>
    <r>
      <rPr>
        <sz val="10"/>
        <rFont val="Noto Sans CJK SC"/>
        <family val="2"/>
      </rPr>
      <t xml:space="preserve">번 요청사항</t>
    </r>
  </si>
  <si>
    <r>
      <rPr>
        <sz val="10"/>
        <rFont val="맑은 고딕"/>
        <family val="3"/>
        <charset val="129"/>
      </rPr>
      <t xml:space="preserve">"</t>
    </r>
    <r>
      <rPr>
        <sz val="10"/>
        <rFont val="Noto Sans CJK SC"/>
        <family val="2"/>
      </rPr>
      <t xml:space="preserve">검토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부적합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 xml:space="preserve">항목이 자동 나열됨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오른쪽 </t>
    </r>
    <r>
      <rPr>
        <sz val="10"/>
        <rFont val="맑은 고딕"/>
        <family val="3"/>
        <charset val="129"/>
      </rPr>
      <t xml:space="preserve">"</t>
    </r>
    <r>
      <rPr>
        <sz val="10"/>
        <rFont val="Noto Sans CJK SC"/>
        <family val="2"/>
      </rPr>
      <t xml:space="preserve">요청 사항</t>
    </r>
    <r>
      <rPr>
        <sz val="10"/>
        <rFont val="맑은 고딕"/>
        <family val="3"/>
        <charset val="129"/>
      </rPr>
      <t xml:space="preserve">"</t>
    </r>
    <r>
      <rPr>
        <sz val="10"/>
        <rFont val="Noto Sans CJK SC"/>
        <family val="2"/>
      </rPr>
      <t xml:space="preserve">만 직접 작성</t>
    </r>
  </si>
  <si>
    <r>
      <rPr>
        <sz val="10"/>
        <rFont val="맑은 고딕"/>
        <family val="3"/>
        <charset val="129"/>
      </rPr>
      <t xml:space="preserve">8</t>
    </r>
    <r>
      <rPr>
        <sz val="10"/>
        <rFont val="Noto Sans CJK SC"/>
        <family val="2"/>
      </rPr>
      <t xml:space="preserve">건 초과 시 마지막 줄에 나머지 건수 표시</t>
    </r>
  </si>
  <si>
    <t xml:space="preserve">⑤ 설계 Check List</t>
  </si>
  <si>
    <t xml:space="preserve">기술제안 내용을 입력하면 실시설계 열은 자동 비교 (동력 · 반응조 규격 변경 필요 여부 등)</t>
  </si>
  <si>
    <r>
      <rPr>
        <sz val="10"/>
        <rFont val="맑은 고딕"/>
        <family val="3"/>
        <charset val="129"/>
      </rPr>
      <t xml:space="preserve">"</t>
    </r>
    <r>
      <rPr>
        <sz val="10"/>
        <rFont val="Noto Sans CJK SC"/>
        <family val="2"/>
      </rPr>
      <t xml:space="preserve">필요</t>
    </r>
    <r>
      <rPr>
        <sz val="10"/>
        <rFont val="맑은 고딕"/>
        <family val="3"/>
        <charset val="129"/>
      </rPr>
      <t xml:space="preserve">"</t>
    </r>
    <r>
      <rPr>
        <sz val="10"/>
        <rFont val="Noto Sans CJK SC"/>
        <family val="2"/>
      </rPr>
      <t xml:space="preserve">면 비고에 사유 기재</t>
    </r>
  </si>
  <si>
    <t xml:space="preserve">⑥ 마무리</t>
  </si>
  <si>
    <t xml:space="preserve">상단 "점검 현황"에서 미작성 0건 확인 → 하단 검토/확인란 서명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</si>
  <si>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Noto Sans CJK SC"/>
        <family val="2"/>
      </rPr>
      <t xml:space="preserve">색상 규칙</t>
    </r>
  </si>
  <si>
    <t xml:space="preserve">색</t>
  </si>
  <si>
    <t xml:space="preserve">의미</t>
  </si>
  <si>
    <t xml:space="preserve">작성 방법</t>
  </si>
  <si>
    <t xml:space="preserve">노란색 (파란 글씨)</t>
  </si>
  <si>
    <t xml:space="preserve">직접 입력하는 칸</t>
  </si>
  <si>
    <t xml:space="preserve">값 · 의견 입력 또는 목록 선택</t>
  </si>
  <si>
    <t xml:space="preserve">초록색</t>
  </si>
  <si>
    <t xml:space="preserve">자동 계산 · 자동 판정 칸</t>
  </si>
  <si>
    <t xml:space="preserve">입력 불필요. 덮어써도 되지만 그 칸은 자동 연결이 끊김</t>
  </si>
  <si>
    <t xml:space="preserve">회색</t>
  </si>
  <si>
    <t xml:space="preserve">제목 · 항목 이름 · 해당 없음</t>
  </si>
  <si>
    <t xml:space="preserve">수정하지 않음</t>
  </si>
  <si>
    <t xml:space="preserve">빨강 / 파랑 표시</t>
  </si>
  <si>
    <t xml:space="preserve">판정이 부적합(빨강) · 검토(파랑)이면 자동 강조</t>
  </si>
  <si>
    <t xml:space="preserve">별도 작업 없음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</si>
  <si>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Noto Sans CJK SC"/>
        <family val="2"/>
      </rPr>
      <t xml:space="preserve">판정 기준</t>
    </r>
  </si>
  <si>
    <t xml:space="preserve">판정</t>
  </si>
  <si>
    <t xml:space="preserve">뜻</t>
  </si>
  <si>
    <t xml:space="preserve">예</t>
  </si>
  <si>
    <t xml:space="preserve">확인</t>
  </si>
  <si>
    <t xml:space="preserve">도서·도면이 기준에 맞고 조치 불필요</t>
  </si>
  <si>
    <t xml:space="preserve">기어드모터 30kW, 시방서와 도면 일치</t>
  </si>
  <si>
    <t xml:space="preserve">검토</t>
  </si>
  <si>
    <t xml:space="preserve">확인이 더 필요하거나 설계사에 확인·자료 요청 필요 (부적합은 아님)</t>
  </si>
  <si>
    <t xml:space="preserve">슬리브 도면 없음 → 도면 요청 / 이더넷으로 통신방식 변경 요청</t>
  </si>
  <si>
    <t xml:space="preserve">부적합</t>
  </si>
  <si>
    <t xml:space="preserve">기준 · 시방서와 맞지 않아 수정 요청 필요</t>
  </si>
  <si>
    <t xml:space="preserve">시방서 30kW, 도면 11kW / 유입시간 124분 &gt; 기준 90분</t>
  </si>
  <si>
    <r>
      <rPr>
        <b val="true"/>
        <sz val="11"/>
        <color rgb="FFFFFFFF"/>
        <rFont val="맑은 고딕"/>
        <family val="3"/>
        <charset val="129"/>
      </rPr>
      <t xml:space="preserve">5. </t>
    </r>
    <r>
      <rPr>
        <b val="true"/>
        <sz val="11"/>
        <color rgb="FFFFFFFF"/>
        <rFont val="Noto Sans CJK SC"/>
        <family val="2"/>
      </rPr>
      <t xml:space="preserve">자동 계산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자동 판정 규칙</t>
    </r>
  </si>
  <si>
    <t xml:space="preserve">항목</t>
  </si>
  <si>
    <t xml:space="preserve">규칙</t>
  </si>
  <si>
    <t xml:space="preserve">결과 표시</t>
  </si>
  <si>
    <t xml:space="preserve">Q/Cycle</t>
  </si>
  <si>
    <t xml:space="preserve">설계유량 ÷ SET ÷ 일 사이클 수 (기본 4)</t>
  </si>
  <si>
    <t xml:space="preserve">㎥/cycle</t>
  </si>
  <si>
    <t xml:space="preserve">유량조정조 · 처리수조</t>
  </si>
  <si>
    <t xml:space="preserve">유효용량 = 가로 × 세로 × 수심 × 지수, 체류시간 = 용량 ÷ (설계유량 ÷ 24)</t>
  </si>
  <si>
    <t xml:space="preserve">㎥ · hr (판정은 직접 선택)</t>
  </si>
  <si>
    <t xml:space="preserve">공급펌프 유입시간</t>
  </si>
  <si>
    <t xml:space="preserve">유입시간(분) = Q/Cycle ÷ 펌프 용량(㎥/min). 기준(기본 90분) 이내면 확인, 초과하면 부적합</t>
  </si>
  <si>
    <t xml:space="preserve">초과 시 빨간 글씨</t>
  </si>
  <si>
    <t xml:space="preserve">반응조 유효용량 · HRT</t>
  </si>
  <si>
    <t xml:space="preserve">유효용량 = 가로 × 세로 × HWL, HRT = 유효용량 × SET ÷ (설계유량 ÷ 24)</t>
  </si>
  <si>
    <t xml:space="preserve">목표 HRT 대비 % 표시</t>
  </si>
  <si>
    <t xml:space="preserve">도면 · 시방서 동력</t>
  </si>
  <si>
    <t xml:space="preserve">시방서 kW와 도면 kW가 같으면 확인, 다르면 부적합</t>
  </si>
  <si>
    <t xml:space="preserve">일치/불일치</t>
  </si>
  <si>
    <t xml:space="preserve">배출량 · 배출소요시간</t>
  </si>
  <si>
    <t xml:space="preserve">배출량 = 가로 × 세로 × (HWL − LWL) ≥ Q/Cycle. 배출소요시간 = 배출 대상 유량/Cycle ÷ 배출유량 — 배출 대상 유량은 잉여슬러지 인발로 수위가 낮아진 뒤의 배출장치 설계유입량(비우면 Q/Cycle). 판정은 계산서와 같이 필요 배출유량을 ROUND(…,3)한 값이 배출유량(QIN) 이하면 확인</t>
  </si>
  <si>
    <t xml:space="preserve">아니면 부적합</t>
  </si>
  <si>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차 전원</t>
    </r>
  </si>
  <si>
    <t xml:space="preserve">전원 용량 ≥ (기어드모터 + 전동윈치) × SET 이면 확인, 아니면 부적합</t>
  </si>
  <si>
    <t xml:space="preserve">충족/부족</t>
  </si>
  <si>
    <r>
      <rPr>
        <sz val="10"/>
        <rFont val="맑은 고딕"/>
        <family val="3"/>
        <charset val="129"/>
      </rPr>
      <t xml:space="preserve">2</t>
    </r>
    <r>
      <rPr>
        <sz val="10"/>
        <rFont val="Noto Sans CJK SC"/>
        <family val="2"/>
      </rPr>
      <t xml:space="preserve">차 배선 거리</t>
    </r>
  </si>
  <si>
    <t xml:space="preserve">구간 합계 × 여유율(기본 1.3)</t>
  </si>
  <si>
    <t xml:space="preserve">구간은 =20+8+20 처럼 입력 가능</t>
  </si>
  <si>
    <t xml:space="preserve">총인 공급펌프</t>
  </si>
  <si>
    <t xml:space="preserve">유입시간 = Q/Cycle ÷ 펌프 용량. 지침 기준이 없어 시간만 표시</t>
  </si>
  <si>
    <t xml:space="preserve">판정은 직접 선택</t>
  </si>
  <si>
    <r>
      <rPr>
        <b val="true"/>
        <sz val="11"/>
        <color rgb="FFFFFFFF"/>
        <rFont val="맑은 고딕"/>
        <family val="3"/>
        <charset val="129"/>
      </rPr>
      <t xml:space="preserve">6. </t>
    </r>
    <r>
      <rPr>
        <b val="true"/>
        <sz val="11"/>
        <color rgb="FFFFFFFF"/>
        <rFont val="Noto Sans CJK SC"/>
        <family val="2"/>
      </rPr>
      <t xml:space="preserve">입력 → 자동 반영 지도</t>
    </r>
  </si>
  <si>
    <t xml:space="preserve">입력한 곳</t>
  </si>
  <si>
    <t xml:space="preserve">자동 반영되는 곳</t>
  </si>
  <si>
    <t xml:space="preserve">내용</t>
  </si>
  <si>
    <t xml:space="preserve">검토서 D열 (사양 값)</t>
  </si>
  <si>
    <t xml:space="preserve">같은 시트의 자동 계산 · 판정 · 상단 점검 현황</t>
  </si>
  <si>
    <r>
      <rPr>
        <sz val="10"/>
        <rFont val="맑은 고딕"/>
        <family val="3"/>
        <charset val="129"/>
      </rPr>
      <t xml:space="preserve">Q/Cycle, </t>
    </r>
    <r>
      <rPr>
        <sz val="10"/>
        <rFont val="Noto Sans CJK SC"/>
        <family val="2"/>
      </rPr>
      <t xml:space="preserve">유효용량</t>
    </r>
    <r>
      <rPr>
        <sz val="10"/>
        <rFont val="맑은 고딕"/>
        <family val="3"/>
        <charset val="129"/>
      </rPr>
      <t xml:space="preserve">, HRT, </t>
    </r>
    <r>
      <rPr>
        <sz val="10"/>
        <rFont val="Noto Sans CJK SC"/>
        <family val="2"/>
      </rPr>
      <t xml:space="preserve">유입시간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배출량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동력부하 등</t>
    </r>
  </si>
  <si>
    <t xml:space="preserve">설계 Check List 실시설계 열</t>
  </si>
  <si>
    <t xml:space="preserve">포기장치 · 배출장치 · 반응조 규격 · 총인 · 제어반 항목</t>
  </si>
  <si>
    <t xml:space="preserve">검토서 F열 (판정) · G열 (의견)</t>
  </si>
  <si>
    <t xml:space="preserve">검토서 7번 검토 의견 · 요청사항</t>
  </si>
  <si>
    <t xml:space="preserve">검토 · 부적합 항목이 순서대로 자동 나열</t>
  </si>
  <si>
    <t xml:space="preserve">검토서 (처리수조 PIT · 호이스트 · 제어반 위치 · 점검 현황)</t>
  </si>
  <si>
    <t xml:space="preserve">설계 Check List</t>
  </si>
  <si>
    <t xml:space="preserve">비고 · 종합 의견에 자동 표시</t>
  </si>
  <si>
    <r>
      <rPr>
        <b val="true"/>
        <sz val="11"/>
        <color rgb="FFFFFFFF"/>
        <rFont val="맑은 고딕"/>
        <family val="3"/>
        <charset val="129"/>
      </rPr>
      <t xml:space="preserve">7. </t>
    </r>
    <r>
      <rPr>
        <b val="true"/>
        <sz val="11"/>
        <color rgb="FFFFFFFF"/>
        <rFont val="Noto Sans CJK SC"/>
        <family val="2"/>
      </rPr>
      <t xml:space="preserve">작성 예시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실제 현장 점검 사례 기준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</si>
  <si>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점검항목</t>
  </si>
  <si>
    <t xml:space="preserve">입력 · 검토의견 예시</t>
  </si>
  <si>
    <t xml:space="preserve">요청 사항 예시</t>
  </si>
  <si>
    <t xml:space="preserve">펌프 0.85㎥/min → 유입시간 124분 (기준 90분 초과)</t>
  </si>
  <si>
    <t xml:space="preserve">부적합 (자동)</t>
  </si>
  <si>
    <t xml:space="preserve">펌프 용량 증설 또는 사이클 조정 요청</t>
  </si>
  <si>
    <t xml:space="preserve">배출장치 슬리브 위치</t>
  </si>
  <si>
    <t xml:space="preserve">반응조 바닥 기준 1.592M, 슬리브 도면 없음</t>
  </si>
  <si>
    <t xml:space="preserve">슬리브 도면 제출 요청</t>
  </si>
  <si>
    <t xml:space="preserve">시방서 30kW, 도면 11kW</t>
  </si>
  <si>
    <t xml:space="preserve">도면 30kW로 정정 요청</t>
  </si>
  <si>
    <t xml:space="preserve">반응조 상부 호이스트</t>
  </si>
  <si>
    <t xml:space="preserve">호이스트 없음, 작업 시 크레인 사용</t>
  </si>
  <si>
    <t xml:space="preserve">크레인 배치 확인</t>
  </si>
  <si>
    <t xml:space="preserve">제어반 설치 위치</t>
  </si>
  <si>
    <r>
      <rPr>
        <sz val="10"/>
        <rFont val="맑은 고딕"/>
        <family val="3"/>
        <charset val="129"/>
      </rPr>
      <t xml:space="preserve">2</t>
    </r>
    <r>
      <rPr>
        <sz val="10"/>
        <rFont val="Noto Sans CJK SC"/>
        <family val="2"/>
      </rPr>
      <t xml:space="preserve">층 전기실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기존 시설</t>
    </r>
    <r>
      <rPr>
        <sz val="10"/>
        <rFont val="맑은 고딕"/>
        <family val="3"/>
        <charset val="129"/>
      </rPr>
      <t xml:space="preserve">), MOP-301B</t>
    </r>
  </si>
  <si>
    <t xml:space="preserve">통신방식</t>
  </si>
  <si>
    <t xml:space="preserve">이더넷으로 변경 요청</t>
  </si>
  <si>
    <t xml:space="preserve">통신방식 변경 여부 설계사 회신</t>
  </si>
  <si>
    <t xml:space="preserve">제어반 베이스</t>
  </si>
  <si>
    <t xml:space="preserve">액세스 플로어 설치(H300)</t>
  </si>
  <si>
    <t xml:space="preserve">RCS · MCC</t>
  </si>
  <si>
    <r>
      <rPr>
        <sz val="10"/>
        <rFont val="맑은 고딕"/>
        <family val="3"/>
        <charset val="129"/>
      </rPr>
      <t xml:space="preserve">RCS </t>
    </r>
    <r>
      <rPr>
        <sz val="10"/>
        <rFont val="Noto Sans CJK SC"/>
        <family val="2"/>
      </rPr>
      <t xml:space="preserve">포함</t>
    </r>
    <r>
      <rPr>
        <sz val="10"/>
        <rFont val="맑은 고딕"/>
        <family val="3"/>
        <charset val="129"/>
      </rPr>
      <t xml:space="preserve">, MCC </t>
    </r>
    <r>
      <rPr>
        <sz val="10"/>
        <rFont val="Noto Sans CJK SC"/>
        <family val="2"/>
      </rPr>
      <t xml:space="preserve">제외</t>
    </r>
  </si>
  <si>
    <t xml:space="preserve">처리수조 PIT</t>
  </si>
  <si>
    <t xml:space="preserve">처리수조 PIT 있음</t>
  </si>
  <si>
    <t xml:space="preserve">총인 배관연결 scope</t>
  </si>
  <si>
    <t xml:space="preserve">공법설비 플랜지 접합부까지</t>
  </si>
  <si>
    <t xml:space="preserve">배관공사비 산정 여부 확인</t>
  </si>
  <si>
    <r>
      <rPr>
        <b val="true"/>
        <sz val="11"/>
        <color rgb="FFFFFFFF"/>
        <rFont val="맑은 고딕"/>
        <family val="3"/>
        <charset val="129"/>
      </rPr>
      <t xml:space="preserve">8. </t>
    </r>
    <r>
      <rPr>
        <b val="true"/>
        <sz val="11"/>
        <color rgb="FFFFFFFF"/>
        <rFont val="Noto Sans CJK SC"/>
        <family val="2"/>
      </rPr>
      <t xml:space="preserve">사용 팁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주의</t>
    </r>
  </si>
  <si>
    <t xml:space="preserve">구분</t>
  </si>
  <si>
    <t xml:space="preserve">새 현장 시작</t>
  </si>
  <si>
    <t xml:space="preserve">파일을 복사한 뒤 노란색 칸의 값만 지우세요. 초록색 칸(수식)은 지우지 않습니다. 기본값(일 사이클 4, 지수 1, 여유율 1.3, 유입시간 기준 90분)은 필요하면 수정</t>
  </si>
  <si>
    <t xml:space="preserve">점검항목 추가</t>
  </si>
  <si>
    <r>
      <rPr>
        <sz val="10"/>
        <rFont val="맑은 고딕"/>
        <family val="3"/>
        <charset val="129"/>
      </rPr>
      <t xml:space="preserve">6</t>
    </r>
    <r>
      <rPr>
        <sz val="10"/>
        <rFont val="Noto Sans CJK SC"/>
        <family val="2"/>
      </rPr>
      <t xml:space="preserve">번 섹션의 빈 노란 행에 구분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점검항목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의견을 입력하면 점검 현황과 </t>
    </r>
    <r>
      <rPr>
        <sz val="10"/>
        <rFont val="맑은 고딕"/>
        <family val="3"/>
        <charset val="129"/>
      </rPr>
      <t xml:space="preserve">7</t>
    </r>
    <r>
      <rPr>
        <sz val="10"/>
        <rFont val="Noto Sans CJK SC"/>
        <family val="2"/>
      </rPr>
      <t xml:space="preserve">번에 자동 집계됨</t>
    </r>
  </si>
  <si>
    <t xml:space="preserve">숨겨진 열</t>
  </si>
  <si>
    <r>
      <rPr>
        <sz val="10"/>
        <rFont val="맑은 고딕"/>
        <family val="3"/>
        <charset val="129"/>
      </rPr>
      <t xml:space="preserve">I · J · K</t>
    </r>
    <r>
      <rPr>
        <sz val="10"/>
        <rFont val="Noto Sans CJK SC"/>
        <family val="2"/>
      </rPr>
      <t xml:space="preserve">열은 </t>
    </r>
    <r>
      <rPr>
        <sz val="10"/>
        <rFont val="맑은 고딕"/>
        <family val="3"/>
        <charset val="129"/>
      </rPr>
      <t xml:space="preserve">7</t>
    </r>
    <r>
      <rPr>
        <sz val="10"/>
        <rFont val="Noto Sans CJK SC"/>
        <family val="2"/>
      </rPr>
      <t xml:space="preserve">번 자동 목록과 점검 현황 집계용입니다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숨김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 xml:space="preserve">삭제하거나 수정하지 마세요</t>
    </r>
    <r>
      <rPr>
        <sz val="10"/>
        <rFont val="맑은 고딕"/>
        <family val="3"/>
        <charset val="129"/>
      </rPr>
      <t xml:space="preserve">.</t>
    </r>
  </si>
  <si>
    <t xml:space="preserve">자동칸 덮어쓰기</t>
  </si>
  <si>
    <t xml:space="preserve">초록색 칸을 직접 입력으로 덮어쓰면 자동 연결이 끊깁니다. 원래 수식이 필요하면 같은 열의 다른 행 수식을 복사하세요.</t>
  </si>
  <si>
    <t xml:space="preserve">단위 확인</t>
  </si>
  <si>
    <t xml:space="preserve">유량 ㎥/d, 배출유량 L/s, 펌프 용량 ㎥/min, 동력 kW입니다. 단위가 다르면 계산 결과가 틀립니다.</t>
  </si>
  <si>
    <t xml:space="preserve">용어</t>
  </si>
  <si>
    <r>
      <rPr>
        <sz val="10"/>
        <rFont val="맑은 고딕"/>
        <family val="3"/>
        <charset val="129"/>
      </rPr>
      <t xml:space="preserve">HWL/LWL: </t>
    </r>
    <r>
      <rPr>
        <sz val="10"/>
        <rFont val="Noto Sans CJK SC"/>
        <family val="2"/>
      </rPr>
      <t xml:space="preserve">고수위</t>
    </r>
    <r>
      <rPr>
        <sz val="10"/>
        <rFont val="맑은 고딕"/>
        <family val="3"/>
        <charset val="129"/>
      </rPr>
      <t xml:space="preserve">/</t>
    </r>
    <r>
      <rPr>
        <sz val="10"/>
        <rFont val="Noto Sans CJK SC"/>
        <family val="2"/>
      </rPr>
      <t xml:space="preserve">저수위</t>
    </r>
    <r>
      <rPr>
        <sz val="10"/>
        <rFont val="맑은 고딕"/>
        <family val="3"/>
        <charset val="129"/>
      </rPr>
      <t xml:space="preserve">, Q/Cycle: 1</t>
    </r>
    <r>
      <rPr>
        <sz val="10"/>
        <rFont val="Noto Sans CJK SC"/>
        <family val="2"/>
      </rPr>
      <t xml:space="preserve">사이클 처리량</t>
    </r>
    <r>
      <rPr>
        <sz val="10"/>
        <rFont val="맑은 고딕"/>
        <family val="3"/>
        <charset val="129"/>
      </rPr>
      <t xml:space="preserve">, HRT: </t>
    </r>
    <r>
      <rPr>
        <sz val="10"/>
        <rFont val="Noto Sans CJK SC"/>
        <family val="2"/>
      </rPr>
      <t xml:space="preserve">수리학적 체류시간</t>
    </r>
    <r>
      <rPr>
        <sz val="10"/>
        <rFont val="맑은 고딕"/>
        <family val="3"/>
        <charset val="129"/>
      </rPr>
      <t xml:space="preserve">, BOP: </t>
    </r>
    <r>
      <rPr>
        <sz val="10"/>
        <rFont val="Noto Sans CJK SC"/>
        <family val="2"/>
      </rPr>
      <t xml:space="preserve">하단 기준 레벨</t>
    </r>
    <r>
      <rPr>
        <sz val="10"/>
        <rFont val="맑은 고딕"/>
        <family val="3"/>
        <charset val="129"/>
      </rPr>
      <t xml:space="preserve">, RCS: </t>
    </r>
    <r>
      <rPr>
        <sz val="10"/>
        <rFont val="Noto Sans CJK SC"/>
        <family val="2"/>
      </rPr>
      <t xml:space="preserve">원격 감시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제어</t>
    </r>
    <r>
      <rPr>
        <sz val="10"/>
        <rFont val="맑은 고딕"/>
        <family val="3"/>
        <charset val="129"/>
      </rPr>
      <t xml:space="preserve">, MCC: </t>
    </r>
    <r>
      <rPr>
        <sz val="10"/>
        <rFont val="Noto Sans CJK SC"/>
        <family val="2"/>
      </rPr>
      <t xml:space="preserve">전동기 제어반</t>
    </r>
  </si>
  <si>
    <t xml:space="preserve">※ 노란색 = 직접 입력 / 초록색 = 자동 계산·자동 판정(필요하면 덮어써서 수정 가능). 도서·도면 값을 D열에 입력하면 판정·검토의견·설계 Check List에 자동 반영됩니다. (작성 방법: [작성요령] 시트)</t>
  </si>
  <si>
    <t xml:space="preserve">현장명</t>
  </si>
  <si>
    <t xml:space="preserve">설계사</t>
  </si>
  <si>
    <t xml:space="preserve">검토일 · 검토자</t>
  </si>
  <si>
    <t xml:space="preserve">처리공정</t>
  </si>
  <si>
    <t xml:space="preserve">점검 현황</t>
  </si>
  <si>
    <t xml:space="preserve">순번</t>
  </si>
  <si>
    <t xml:space="preserve">의견 요약(자동)</t>
  </si>
  <si>
    <t xml:space="preserve">집계</t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</si>
  <si>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Noto Sans CJK SC"/>
        <family val="2"/>
      </rPr>
      <t xml:space="preserve">설계 기본 사양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용량계산서 기준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</si>
  <si>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No</t>
  </si>
  <si>
    <t xml:space="preserve">도서 · 도면</t>
  </si>
  <si>
    <t xml:space="preserve">단위</t>
  </si>
  <si>
    <t xml:space="preserve">검토의견</t>
  </si>
  <si>
    <t xml:space="preserve">공통</t>
  </si>
  <si>
    <t xml:space="preserve">시설용량</t>
  </si>
  <si>
    <t xml:space="preserve">㎥/d</t>
  </si>
  <si>
    <t xml:space="preserve">설계유량</t>
  </si>
  <si>
    <t xml:space="preserve">반응조 수 (SET)</t>
  </si>
  <si>
    <t xml:space="preserve">지</t>
  </si>
  <si>
    <t xml:space="preserve">일 사이클 수 (지당)</t>
  </si>
  <si>
    <t xml:space="preserve">회/d</t>
  </si>
  <si>
    <r>
      <rPr>
        <sz val="10"/>
        <rFont val="맑은 고딕"/>
        <family val="3"/>
        <charset val="129"/>
      </rPr>
      <t xml:space="preserve">Q/Cycle (</t>
    </r>
    <r>
      <rPr>
        <sz val="10"/>
        <rFont val="Noto Sans CJK SC"/>
        <family val="2"/>
      </rPr>
      <t xml:space="preserve">지당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 xml:space="preserve">설계유량 </t>
    </r>
    <r>
      <rPr>
        <sz val="10"/>
        <rFont val="맑은 고딕"/>
        <family val="3"/>
        <charset val="129"/>
      </rPr>
      <t xml:space="preserve">÷ SET ÷ </t>
    </r>
    <r>
      <rPr>
        <sz val="10"/>
        <rFont val="Noto Sans CJK SC"/>
        <family val="2"/>
      </rPr>
      <t xml:space="preserve">사이클 수</t>
    </r>
  </si>
  <si>
    <t xml:space="preserve">목표 HRT (용량계산서)</t>
  </si>
  <si>
    <t xml:space="preserve">hr</t>
  </si>
  <si>
    <t xml:space="preserve">SRT</t>
  </si>
  <si>
    <t xml:space="preserve">일</t>
  </si>
  <si>
    <t xml:space="preserve">공급펌프 유입시간 기준 (지침)</t>
  </si>
  <si>
    <t xml:space="preserve">분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</si>
  <si>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Noto Sans CJK SC"/>
        <family val="2"/>
      </rPr>
      <t xml:space="preserve">유량 조정조 설비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토목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기계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</si>
  <si>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토목</t>
  </si>
  <si>
    <t xml:space="preserve">유량조정조 가로</t>
  </si>
  <si>
    <t xml:space="preserve">m</t>
  </si>
  <si>
    <t xml:space="preserve">유량조정조 세로</t>
  </si>
  <si>
    <t xml:space="preserve">유량조정조 수심</t>
  </si>
  <si>
    <t xml:space="preserve">유량조정조 지수</t>
  </si>
  <si>
    <t xml:space="preserve">유량조정조 유효용량 (가로 × 세로 × 수심 × 지수)</t>
  </si>
  <si>
    <t xml:space="preserve">㎥</t>
  </si>
  <si>
    <t xml:space="preserve">유량조정조 체류시간 적정성 검토 (용량 ÷ 시간유량)</t>
  </si>
  <si>
    <t xml:space="preserve">유량조정조 운전 수위 및 유효수심 검토</t>
  </si>
  <si>
    <t xml:space="preserve">기계</t>
  </si>
  <si>
    <t xml:space="preserve">공급펌프 구경</t>
  </si>
  <si>
    <t xml:space="preserve">A</t>
  </si>
  <si>
    <t xml:space="preserve">공급펌프 용량</t>
  </si>
  <si>
    <t xml:space="preserve">㎥/min</t>
  </si>
  <si>
    <t xml:space="preserve">공급펌프 동력</t>
  </si>
  <si>
    <t xml:space="preserve">kW</t>
  </si>
  <si>
    <t xml:space="preserve">공급펌프 사이클당 유입시간 검토 (Q/Cycle ÷ 펌프 용량)</t>
  </si>
  <si>
    <t xml:space="preserve">유입 배관 규격 및 밸브 검토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</si>
  <si>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Noto Sans CJK SC"/>
        <family val="2"/>
      </rPr>
      <t xml:space="preserve">생물 반응조 설비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토목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기계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</si>
  <si>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반응조 가로</t>
  </si>
  <si>
    <t xml:space="preserve">반응조 세로</t>
  </si>
  <si>
    <t xml:space="preserve">운전수위 LWL</t>
  </si>
  <si>
    <t xml:space="preserve">운전수위 HWL (수심)</t>
  </si>
  <si>
    <t xml:space="preserve">여유고 (HWL ~ 벽체 상단)</t>
  </si>
  <si>
    <t xml:space="preserve">생물반응조 유효용량 및 운전수위 검토 (가로 × 세로 × HWL)</t>
  </si>
  <si>
    <t xml:space="preserve">산정 HRT (유효용량 × SET ÷ 시간유량)</t>
  </si>
  <si>
    <r>
      <rPr>
        <sz val="10"/>
        <rFont val="맑은 고딕"/>
        <family val="3"/>
        <charset val="129"/>
      </rPr>
      <t xml:space="preserve">(+)</t>
    </r>
    <r>
      <rPr>
        <sz val="10"/>
        <rFont val="Noto Sans CJK SC"/>
        <family val="2"/>
      </rPr>
      <t xml:space="preserve">구조물 규격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적정성 및 </t>
    </r>
    <r>
      <rPr>
        <sz val="10"/>
        <rFont val="맑은 고딕"/>
        <family val="3"/>
        <charset val="129"/>
      </rPr>
      <t xml:space="preserve">scope </t>
    </r>
    <r>
      <rPr>
        <sz val="10"/>
        <rFont val="Noto Sans CJK SC"/>
        <family val="2"/>
      </rPr>
      <t xml:space="preserve">검토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두께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레벨</t>
    </r>
    <r>
      <rPr>
        <sz val="10"/>
        <rFont val="맑은 고딕"/>
        <family val="3"/>
        <charset val="129"/>
      </rPr>
      <t xml:space="preserve">)</t>
    </r>
  </si>
  <si>
    <t xml:space="preserve">포기장치 설치 위치 및 간섭 검토 (기둥 · 보 · 벽체 · 배출장치 · 핸드레일 · 호이스트)</t>
  </si>
  <si>
    <t xml:space="preserve">반응조 덮개 유무 · 형식 및 점검구 검토</t>
  </si>
  <si>
    <t xml:space="preserve">배출장치 슬리브 위치 검토 (구경 / BOP)</t>
  </si>
  <si>
    <t xml:space="preserve">배출장치 슬리브 scope</t>
  </si>
  <si>
    <t xml:space="preserve">포기장치(터빈) 규격 Ø 적정 여부 검토</t>
  </si>
  <si>
    <t xml:space="preserve">Ø mm</t>
  </si>
  <si>
    <t xml:space="preserve">산소공급능력</t>
  </si>
  <si>
    <t xml:space="preserve">kgO₂/h</t>
  </si>
  <si>
    <t xml:space="preserve">기어드모터 동력 (도면)</t>
  </si>
  <si>
    <t xml:space="preserve">기어드모터 동력 (시방서)</t>
  </si>
  <si>
    <t xml:space="preserve">도면 · 시방서 내 규격 및 동력 일치 검토</t>
  </si>
  <si>
    <t xml:space="preserve">기어드모터 모델 / 출력 RPM 적정 검토</t>
  </si>
  <si>
    <t xml:space="preserve">전동윈치 설치 시 간섭 검토</t>
  </si>
  <si>
    <t xml:space="preserve">반응조 상부 호이스트 유무</t>
  </si>
  <si>
    <t xml:space="preserve">포기장치 · 제어반 반입 및 양중 경로 확보 검토</t>
  </si>
  <si>
    <t xml:space="preserve">배출유량</t>
  </si>
  <si>
    <t xml:space="preserve">L/s</t>
  </si>
  <si>
    <t xml:space="preserve">배출장치 구경</t>
  </si>
  <si>
    <t xml:space="preserve">전동윈치 동력</t>
  </si>
  <si>
    <t xml:space="preserve">배출단계 시간 (설계)</t>
  </si>
  <si>
    <t xml:space="preserve">배출 대상 유량 (배출장치 설계유입량 · 잉여슬러지 인발 후)</t>
  </si>
  <si>
    <r>
      <rPr>
        <sz val="9"/>
        <color rgb="FF595959"/>
        <rFont val="Noto Sans CJK SC"/>
        <family val="2"/>
      </rPr>
      <t xml:space="preserve">㎥</t>
    </r>
    <r>
      <rPr>
        <sz val="9"/>
        <color rgb="FF595959"/>
        <rFont val="맑은 고딕"/>
        <family val="3"/>
        <charset val="129"/>
      </rPr>
      <t xml:space="preserve">/d</t>
    </r>
  </si>
  <si>
    <r>
      <rPr>
        <sz val="9"/>
        <color rgb="FF808080"/>
        <rFont val="Noto Sans CJK SC"/>
        <family val="2"/>
      </rPr>
      <t xml:space="preserve">비우면 설계유량 기준 </t>
    </r>
    <r>
      <rPr>
        <sz val="9"/>
        <color rgb="FF808080"/>
        <rFont val="맑은 고딕"/>
        <family val="3"/>
        <charset val="129"/>
      </rPr>
      <t xml:space="preserve">Q/Cycle </t>
    </r>
    <r>
      <rPr>
        <sz val="9"/>
        <color rgb="FF808080"/>
        <rFont val="Noto Sans CJK SC"/>
        <family val="2"/>
      </rPr>
      <t xml:space="preserve">사용</t>
    </r>
  </si>
  <si>
    <t xml:space="preserve">배출량 적정성 검토 (가로 × 세로 × (HWL − LWL) ≥ Q/Cycle)</t>
  </si>
  <si>
    <t xml:space="preserve">배출소요시간 검토 (배출 대상 유량/Cycle ÷ 배출유량 ≤ 배출단계 시간)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</si>
  <si>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Noto Sans CJK SC"/>
        <family val="2"/>
      </rPr>
      <t xml:space="preserve">전기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제어 설비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반응조 제어반 </t>
    </r>
    <r>
      <rPr>
        <b val="true"/>
        <sz val="11"/>
        <color rgb="FFFFFFFF"/>
        <rFont val="맑은 고딕"/>
        <family val="3"/>
        <charset val="129"/>
      </rPr>
      <t xml:space="preserve">MOP)</t>
    </r>
  </si>
  <si>
    <t xml:space="preserve">전기</t>
  </si>
  <si>
    <t xml:space="preserve">제어반 설치 위치 검토</t>
  </si>
  <si>
    <t xml:space="preserve">제어반 구성 및 포함내용 검토 (인버터 · PLC 이중화 · LOP 면수)</t>
  </si>
  <si>
    <t xml:space="preserve">감시제어반 RCS 포함 여부</t>
  </si>
  <si>
    <r>
      <rPr>
        <sz val="10"/>
        <rFont val="맑은 고딕"/>
        <family val="3"/>
        <charset val="129"/>
      </rPr>
      <t xml:space="preserve">MCC</t>
    </r>
    <r>
      <rPr>
        <sz val="10"/>
        <rFont val="Noto Sans CJK SC"/>
        <family val="2"/>
      </rPr>
      <t xml:space="preserve">반 포함 여부</t>
    </r>
  </si>
  <si>
    <t xml:space="preserve">제어반 재질 및 규격 검토 (W × D × H)</t>
  </si>
  <si>
    <t xml:space="preserve">제어반 베이스 검토</t>
  </si>
  <si>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차 전원 공급 용량</t>
    </r>
  </si>
  <si>
    <t xml:space="preserve">동력부하 합계 ((기어드모터 + 전동윈치) × SET) 대비 전원 검토</t>
  </si>
  <si>
    <r>
      <rPr>
        <sz val="10"/>
        <rFont val="맑은 고딕"/>
        <family val="3"/>
        <charset val="129"/>
      </rPr>
      <t xml:space="preserve">2</t>
    </r>
    <r>
      <rPr>
        <sz val="10"/>
        <rFont val="Noto Sans CJK SC"/>
        <family val="2"/>
      </rPr>
      <t xml:space="preserve">차 배선 구간 합계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=20+8+20)</t>
    </r>
  </si>
  <si>
    <r>
      <rPr>
        <sz val="10"/>
        <rFont val="맑은 고딕"/>
        <family val="3"/>
        <charset val="129"/>
      </rPr>
      <t xml:space="preserve">2</t>
    </r>
    <r>
      <rPr>
        <sz val="10"/>
        <rFont val="Noto Sans CJK SC"/>
        <family val="2"/>
      </rPr>
      <t xml:space="preserve">차 배선 여유율</t>
    </r>
  </si>
  <si>
    <t xml:space="preserve">배</t>
  </si>
  <si>
    <r>
      <rPr>
        <sz val="10"/>
        <rFont val="맑은 고딕"/>
        <family val="3"/>
        <charset val="129"/>
      </rPr>
      <t xml:space="preserve">2</t>
    </r>
    <r>
      <rPr>
        <sz val="10"/>
        <rFont val="Noto Sans CJK SC"/>
        <family val="2"/>
      </rPr>
      <t xml:space="preserve">차 배선 거리 검토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구간 합계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여유율</t>
    </r>
    <r>
      <rPr>
        <sz val="10"/>
        <rFont val="맑은 고딕"/>
        <family val="3"/>
        <charset val="129"/>
      </rPr>
      <t xml:space="preserve">)</t>
    </r>
  </si>
  <si>
    <t xml:space="preserve">제어 · 통신 방식 검토</t>
  </si>
  <si>
    <t xml:space="preserve">계측기 설치 위치 · 브라켓 및 계측 설비 인터페이스 확인</t>
  </si>
  <si>
    <r>
      <rPr>
        <b val="true"/>
        <sz val="11"/>
        <color rgb="FFFFFFFF"/>
        <rFont val="맑은 고딕"/>
        <family val="3"/>
        <charset val="129"/>
      </rPr>
      <t xml:space="preserve">5. </t>
    </r>
    <r>
      <rPr>
        <b val="true"/>
        <sz val="11"/>
        <color rgb="FFFFFFFF"/>
        <rFont val="Noto Sans CJK SC"/>
        <family val="2"/>
      </rPr>
      <t xml:space="preserve">처리수조 및 총인설비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후단 설비</t>
    </r>
  </si>
  <si>
    <t xml:space="preserve">처리수조 PIT 유무</t>
  </si>
  <si>
    <t xml:space="preserve">처리수조 가로</t>
  </si>
  <si>
    <t xml:space="preserve">처리수조 세로</t>
  </si>
  <si>
    <t xml:space="preserve">처리수조 수심</t>
  </si>
  <si>
    <t xml:space="preserve">처리수조 지수</t>
  </si>
  <si>
    <t xml:space="preserve">처리수조 유효용량 (가로 × 세로 × 수심 × 지수)</t>
  </si>
  <si>
    <t xml:space="preserve">처리수조 유효용량 및 운전수위 검토 (체류시간)</t>
  </si>
  <si>
    <t xml:space="preserve">총인설비 처리용량</t>
  </si>
  <si>
    <t xml:space="preserve">총인설비 공급 범위 및 연결 scope 검토 (약품 · 배관 · 전기 · 제어)</t>
  </si>
  <si>
    <t xml:space="preserve">총인설비 PAD Scope 및 규격 검토</t>
  </si>
  <si>
    <t xml:space="preserve">처리수 이송(총인 공급) 펌프 용량</t>
  </si>
  <si>
    <t xml:space="preserve">처리수 배관 구경</t>
  </si>
  <si>
    <t xml:space="preserve">배출관 경로 · 레벨 검토 (반응조 → 처리수조 / 총인설비)</t>
  </si>
  <si>
    <t xml:space="preserve">총인 공급펌프 용량 확인 (Q/Cycle ÷ 펌프 용량 = 사이클당 유입시간)</t>
  </si>
  <si>
    <r>
      <rPr>
        <b val="true"/>
        <sz val="11"/>
        <color rgb="FFFFFFFF"/>
        <rFont val="맑은 고딕"/>
        <family val="3"/>
        <charset val="129"/>
      </rPr>
      <t xml:space="preserve">6. </t>
    </r>
    <r>
      <rPr>
        <b val="true"/>
        <sz val="11"/>
        <color rgb="FFFFFFFF"/>
        <rFont val="Noto Sans CJK SC"/>
        <family val="2"/>
      </rPr>
      <t xml:space="preserve">기타 사항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자유 기재 — 점검항목을 </t>
    </r>
    <r>
      <rPr>
        <b val="true"/>
        <sz val="11"/>
        <color rgb="FFFFFFFF"/>
        <rFont val="맑은 고딕"/>
        <family val="3"/>
        <charset val="129"/>
      </rPr>
      <t xml:space="preserve">C</t>
    </r>
    <r>
      <rPr>
        <b val="true"/>
        <sz val="11"/>
        <color rgb="FFFFFFFF"/>
        <rFont val="Noto Sans CJK SC"/>
        <family val="2"/>
      </rPr>
      <t xml:space="preserve">열에 직접 작성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</si>
  <si>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r>
      <rPr>
        <b val="true"/>
        <sz val="11"/>
        <color rgb="FFFFFFFF"/>
        <rFont val="맑은 고딕"/>
        <family val="3"/>
        <charset val="129"/>
      </rPr>
      <t xml:space="preserve">7. </t>
    </r>
    <r>
      <rPr>
        <b val="true"/>
        <sz val="11"/>
        <color rgb="FFFFFFFF"/>
        <rFont val="Noto Sans CJK SC"/>
        <family val="2"/>
      </rPr>
      <t xml:space="preserve">검토 의견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요청사항  </t>
    </r>
    <r>
      <rPr>
        <b val="true"/>
        <sz val="11"/>
        <color rgb="FFFFFFFF"/>
        <rFont val="맑은 고딕"/>
        <family val="3"/>
        <charset val="129"/>
      </rPr>
      <t xml:space="preserve">("</t>
    </r>
    <r>
      <rPr>
        <b val="true"/>
        <sz val="11"/>
        <color rgb="FFFFFFFF"/>
        <rFont val="Noto Sans CJK SC"/>
        <family val="2"/>
      </rPr>
      <t xml:space="preserve">검토 </t>
    </r>
    <r>
      <rPr>
        <b val="true"/>
        <sz val="11"/>
        <color rgb="FFFFFFFF"/>
        <rFont val="맑은 고딕"/>
        <family val="3"/>
        <charset val="129"/>
      </rPr>
      <t xml:space="preserve">· </t>
    </r>
    <r>
      <rPr>
        <b val="true"/>
        <sz val="11"/>
        <color rgb="FFFFFFFF"/>
        <rFont val="Noto Sans CJK SC"/>
        <family val="2"/>
      </rPr>
      <t xml:space="preserve">부적합</t>
    </r>
    <r>
      <rPr>
        <b val="true"/>
        <sz val="11"/>
        <color rgb="FFFFFFFF"/>
        <rFont val="맑은 고딕"/>
        <family val="3"/>
        <charset val="129"/>
      </rPr>
      <t xml:space="preserve">" </t>
    </r>
    <r>
      <rPr>
        <b val="true"/>
        <sz val="11"/>
        <color rgb="FFFFFFFF"/>
        <rFont val="Noto Sans CJK SC"/>
        <family val="2"/>
      </rPr>
      <t xml:space="preserve">항목이 자동으로 나열됩니다 </t>
    </r>
    <r>
      <rPr>
        <b val="true"/>
        <sz val="11"/>
        <color rgb="FFFFFFFF"/>
        <rFont val="맑은 고딕"/>
        <family val="3"/>
        <charset val="129"/>
      </rPr>
      <t xml:space="preserve">/ </t>
    </r>
    <r>
      <rPr>
        <b val="true"/>
        <sz val="11"/>
        <color rgb="FFFFFFFF"/>
        <rFont val="Noto Sans CJK SC"/>
        <family val="2"/>
      </rPr>
      <t xml:space="preserve">요청 사항만 직접 입력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</si>
  <si>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구분 (판정 · 항목)</t>
  </si>
  <si>
    <t xml:space="preserve">검토 내용 (점검항목 · 도서 값 · 의견)</t>
  </si>
  <si>
    <t xml:space="preserve">요청 사항</t>
  </si>
  <si>
    <t xml:space="preserve">기술제안서 Check List</t>
  </si>
  <si>
    <t xml:space="preserve">프로젝트 명 : </t>
  </si>
  <si>
    <t xml:space="preserve">구  분</t>
  </si>
  <si>
    <t xml:space="preserve">Check 내용</t>
  </si>
  <si>
    <t xml:space="preserve">검토자</t>
  </si>
  <si>
    <t xml:space="preserve">1차검토</t>
  </si>
  <si>
    <t xml:space="preserve">2차검토</t>
  </si>
  <si>
    <t xml:space="preserve">제안서 기획
(PM,부서장,팀장)</t>
  </si>
  <si>
    <t xml:space="preserve">제안서의 작성전반에 대한 PM의 컨셉확인했나?(PM)</t>
  </si>
  <si>
    <t xml:space="preserve">공정계획이 사업목표와 부합되는가?(PM)</t>
  </si>
  <si>
    <t xml:space="preserve">구조물의 배치는 경제성과 유지관리를 고려했나?</t>
  </si>
  <si>
    <t xml:space="preserve">처리공정의 구성과 유지관리의 상관관계검토?</t>
  </si>
  <si>
    <t xml:space="preserve">유지관리비(에너지)소요 자재에 대한 운영계획은 적정한가?</t>
  </si>
  <si>
    <t xml:space="preserve">금번 제안서 작성의 주안점을 설정하였나?</t>
  </si>
  <si>
    <t xml:space="preserve">경쟁사와 평가점수에 대한 보증수질,경제성에 대한 시뮬레이션?</t>
  </si>
  <si>
    <t xml:space="preserve">해당사항없음</t>
  </si>
  <si>
    <t xml:space="preserve">원  본</t>
  </si>
  <si>
    <t xml:space="preserve">제안서</t>
  </si>
  <si>
    <t xml:space="preserve">작성지침의 번호순서대로 서술되었는가?</t>
  </si>
  <si>
    <t xml:space="preserve">제안수질이 목표수질 이내인가?</t>
  </si>
  <si>
    <t xml:space="preserve">목표수질 표기가 틀린곳이 없는가?</t>
  </si>
  <si>
    <t xml:space="preserve">쪽수가 제안쪽수 이내인가?</t>
  </si>
  <si>
    <t xml:space="preserve">투시도조감도는 사용하지 않았는가?</t>
  </si>
  <si>
    <t xml:space="preserve">공사비, 유지관리비가 부록과 일치하는가?</t>
  </si>
  <si>
    <t xml:space="preserve">제출문 직인란은 직인이 누락되지 않았는가?</t>
  </si>
  <si>
    <t xml:space="preserve">정상가동
실적증명서</t>
  </si>
  <si>
    <t xml:space="preserve">기한내 것인가?</t>
  </si>
  <si>
    <t xml:space="preserve">당사특허 적용현장인가?</t>
  </si>
  <si>
    <t xml:space="preserve">특허내용이 포함되었는가?</t>
  </si>
  <si>
    <t xml:space="preserve">적용용량에 맞는가?</t>
  </si>
  <si>
    <t xml:space="preserve">만점 개소수 여유율 50% 이상 첨부했는가?</t>
  </si>
  <si>
    <t xml:space="preserve">도면</t>
  </si>
  <si>
    <t xml:space="preserve">구조물용량은 지침에 부합하는가?</t>
  </si>
  <si>
    <t xml:space="preserve">계열화는 지침에 부합하는가?</t>
  </si>
  <si>
    <t xml:space="preserve">유입 BOP를 기준으로 설계하였는가?</t>
  </si>
  <si>
    <t xml:space="preserve">십자구조물은 표현되어 있는가?</t>
  </si>
  <si>
    <t xml:space="preserve">체류시간 — 반응조 공급펌프 유입시간이 90분 이내로 설계되었는가?</t>
  </si>
  <si>
    <t xml:space="preserve">기타첨부
서류</t>
  </si>
  <si>
    <t xml:space="preserve">첨부서류중 빠진것은 없는가?
(공동협약서,확약서,성능보증서,자재성능보증서,
기술이전계획서,유지관리보증서,기자재견적서)</t>
  </si>
  <si>
    <t xml:space="preserve">확약서 등 첨부서류 내용 누락사항은 없는가?</t>
  </si>
  <si>
    <t xml:space="preserve">성능보증 수질은 기준 이내인가?</t>
  </si>
  <si>
    <t xml:space="preserve">첨부서류에 누락된 직인란은 없는가?</t>
  </si>
  <si>
    <t xml:space="preserve">사  본</t>
  </si>
  <si>
    <t xml:space="preserve">표지 및 제출문에 회사명이 언급되지 않았는지?</t>
  </si>
  <si>
    <t xml:space="preserve">공법명, 회사명이 언급된 곳은 없는가?</t>
  </si>
  <si>
    <t xml:space="preserve">부록내역서에 회사명이 언급된 곳은 없는가?</t>
  </si>
  <si>
    <t xml:space="preserve">부록용량계산서에 공법명이 언급된 곳은 없는가?</t>
  </si>
  <si>
    <r>
      <rPr>
        <b val="true"/>
        <sz val="11"/>
        <rFont val="맑은 고딕"/>
        <family val="3"/>
        <charset val="129"/>
      </rPr>
      <t xml:space="preserve">Check </t>
    </r>
    <r>
      <rPr>
        <b val="true"/>
        <sz val="11"/>
        <rFont val="Noto Sans CJK SC"/>
        <family val="2"/>
      </rPr>
      <t xml:space="preserve">내용</t>
    </r>
  </si>
  <si>
    <t xml:space="preserve">기술제안 내용</t>
  </si>
  <si>
    <t xml:space="preserve">실시설계</t>
  </si>
  <si>
    <t xml:space="preserve">비  고</t>
  </si>
  <si>
    <t xml:space="preserve">공법기자재</t>
  </si>
  <si>
    <t xml:space="preserve">포기장치 형식</t>
  </si>
  <si>
    <r>
      <rPr>
        <sz val="11"/>
        <rFont val="맑은 고딕"/>
        <family val="3"/>
        <charset val="129"/>
      </rPr>
      <t xml:space="preserve">900</t>
    </r>
    <r>
      <rPr>
        <sz val="11"/>
        <rFont val="Noto Sans CJK SC"/>
        <family val="2"/>
      </rPr>
      <t xml:space="preserve">형</t>
    </r>
  </si>
  <si>
    <t xml:space="preserve">포기장치 수량</t>
  </si>
  <si>
    <t xml:space="preserve">2SET</t>
  </si>
  <si>
    <t xml:space="preserve">포기장치 동력</t>
  </si>
  <si>
    <t xml:space="preserve">4kW</t>
  </si>
  <si>
    <t xml:space="preserve">포기장치 인버터 사양</t>
  </si>
  <si>
    <t xml:space="preserve">5.5kW</t>
  </si>
  <si>
    <t xml:space="preserve">배출장치 규격</t>
  </si>
  <si>
    <t xml:space="preserve">150A</t>
  </si>
  <si>
    <t xml:space="preserve">배출장치 수량</t>
  </si>
  <si>
    <t xml:space="preserve">배출장치 동력</t>
  </si>
  <si>
    <t xml:space="preserve">0.4kW</t>
  </si>
  <si>
    <t xml:space="preserve">포기장치 동하중, 정하중</t>
  </si>
  <si>
    <t xml:space="preserve">2ton / 1ton</t>
  </si>
  <si>
    <t xml:space="preserve">배출장치 동하중, 정하중</t>
  </si>
  <si>
    <t xml:space="preserve">0.5ton / 0.3ton</t>
  </si>
  <si>
    <t xml:space="preserve">동력 변경 필요 여부</t>
  </si>
  <si>
    <t xml:space="preserve">불필요</t>
  </si>
  <si>
    <t xml:space="preserve">웹앱 기준 · 초과 시 4개 팀 협의</t>
  </si>
  <si>
    <t xml:space="preserve">반응조 폭, 길이</t>
  </si>
  <si>
    <t xml:space="preserve">반응조 수위</t>
  </si>
  <si>
    <t xml:space="preserve">반응조 규격 변경 필요 여부</t>
  </si>
  <si>
    <t xml:space="preserve">잉여슬러지 펌프 피트 반영 여부</t>
  </si>
  <si>
    <t xml:space="preserve">처리수조 펌프 피트 반영 여부</t>
  </si>
  <si>
    <t xml:space="preserve">맨홀 위치 변경 필요 여부</t>
  </si>
  <si>
    <t xml:space="preserve">단차구조물 변경 필요 여부</t>
  </si>
  <si>
    <t xml:space="preserve">유지관리호이스트 레일 / 기자재 규격</t>
  </si>
  <si>
    <t xml:space="preserve">레일 2ton, 기자재 1ton</t>
  </si>
  <si>
    <t xml:space="preserve">전처리설비 변경 여부</t>
  </si>
  <si>
    <t xml:space="preserve">총인처리설비 배관 포함 여부
(공법사 미포함시 배관공사비 산정 여부 확인)</t>
  </si>
  <si>
    <t xml:space="preserve">총인처리설비 없음</t>
  </si>
  <si>
    <t xml:space="preserve">계열화 삭제 여부</t>
  </si>
  <si>
    <t xml:space="preserve">공법제어반 포함내용</t>
  </si>
  <si>
    <r>
      <rPr>
        <sz val="11"/>
        <rFont val="맑은 고딕"/>
        <family val="3"/>
        <charset val="129"/>
      </rPr>
      <t xml:space="preserve">PLC </t>
    </r>
    <r>
      <rPr>
        <sz val="11"/>
        <rFont val="Noto Sans CJK SC"/>
        <family val="2"/>
      </rPr>
      <t xml:space="preserve">이중화</t>
    </r>
  </si>
  <si>
    <t xml:space="preserve">감시제어반 RCS 포함여부</t>
  </si>
  <si>
    <t xml:space="preserve">미포함</t>
  </si>
  <si>
    <r>
      <rPr>
        <sz val="11"/>
        <rFont val="맑은 고딕"/>
        <family val="3"/>
        <charset val="129"/>
      </rPr>
      <t xml:space="preserve">MCC</t>
    </r>
    <r>
      <rPr>
        <sz val="11"/>
        <rFont val="Noto Sans CJK SC"/>
        <family val="2"/>
      </rPr>
      <t xml:space="preserve">반 포함여부</t>
    </r>
  </si>
  <si>
    <r>
      <rPr>
        <sz val="11"/>
        <rFont val="맑은 고딕"/>
        <family val="3"/>
        <charset val="129"/>
      </rPr>
      <t xml:space="preserve">2</t>
    </r>
    <r>
      <rPr>
        <sz val="11"/>
        <rFont val="Noto Sans CJK SC"/>
        <family val="2"/>
      </rPr>
      <t xml:space="preserve">차배관배선</t>
    </r>
  </si>
  <si>
    <t xml:space="preserve">미포함, 실시설계시 반영필요</t>
  </si>
  <si>
    <t xml:space="preserve">공법제어반 전기실 배치 요청</t>
  </si>
  <si>
    <t xml:space="preserve">기타</t>
  </si>
  <si>
    <t xml:space="preserve">유입분배조, 탈취기실 배치 위치 확인</t>
  </si>
  <si>
    <t xml:space="preserve">종합 의견</t>
  </si>
  <si>
    <t xml:space="preserve">시공 Check List</t>
  </si>
  <si>
    <t xml:space="preserve">확  인</t>
  </si>
  <si>
    <t xml:space="preserve">설계
재검토</t>
  </si>
  <si>
    <t xml:space="preserve">검토서
연계</t>
  </si>
  <si>
    <t xml:space="preserve"> 설계성과품 검토서의 '검토 · 부적합' 항목이 설계사 회신·도면 수정으로 모두 해소됐는지?</t>
  </si>
  <si>
    <t xml:space="preserve"> 설계 Check List의 변경 '필요' 항목이 제작·설치 계획에 반영됐는지?</t>
  </si>
  <si>
    <t xml:space="preserve">제작
승인
도서</t>
  </si>
  <si>
    <t xml:space="preserve">승인도서</t>
  </si>
  <si>
    <t xml:space="preserve"> 최종 설계시방서 및 내역 기준으로 작성됐는지?</t>
  </si>
  <si>
    <t xml:space="preserve"> 제출 시기·부수와 감리단 별도 양식 여부를 확인했는지?</t>
  </si>
  <si>
    <t xml:space="preserve"> 협력업체에서 받은 보고서의 내용에 오류는 없는지?</t>
  </si>
  <si>
    <t xml:space="preserve"> 설계시방서와 제작시방서의 차이가 있다면 DEVIATION SHEET를 작성했는지?</t>
  </si>
  <si>
    <t xml:space="preserve">제작
도면</t>
  </si>
  <si>
    <t xml:space="preserve"> 최종 설계도면 기준으로 작성됐는지?</t>
  </si>
  <si>
    <t xml:space="preserve"> 레벨·치수(벽체-슬라브 이격, 배출장치 BOP, 십자구조물 높이, HWL·LWL 대비 터빈 위치)가 현장에 맞게 명시됐는지?</t>
  </si>
  <si>
    <t xml:space="preserve"> 모터감속기·윈치, GUIDE RAIL·FLOAT ARM 파이프 규격이 실제 사양대로 명시됐는지?</t>
  </si>
  <si>
    <t xml:space="preserve"> 터빈 프로펠러와 디켄터 공기차단막 상세가 표현됐는지?</t>
  </si>
  <si>
    <t xml:space="preserve"> 도각 우측 상단 DESCRIPTION 테이블이 현장에 맞게 기입됐는지?</t>
  </si>
  <si>
    <t xml:space="preserve">첨부
서류</t>
  </si>
  <si>
    <t xml:space="preserve"> 첨부서류가 보고서 목차와 현장 규격·내용에 맞게 들어갔는지?</t>
  </si>
  <si>
    <t xml:space="preserve"> 현장에 맞는 규격에 손도장이 바르게 들어갔는지?</t>
  </si>
  <si>
    <t xml:space="preserve">보완작업</t>
  </si>
  <si>
    <t xml:space="preserve"> 감리단 보완 지시 사항이 현장 여건과 맞는지?</t>
  </si>
  <si>
    <t xml:space="preserve">공장검사
보고서</t>
  </si>
  <si>
    <t xml:space="preserve">보고서</t>
  </si>
  <si>
    <t xml:space="preserve"> 허용공차 TABLE의 치수가 치수검사체크리스트의 치수와 일치하는지?</t>
  </si>
  <si>
    <t xml:space="preserve">첨부서류</t>
  </si>
  <si>
    <t xml:space="preserve"> 기자재 성적서·밀시트와 사진대지가 알맞게 정리됐는지?</t>
  </si>
  <si>
    <t xml:space="preserve">기타사항</t>
  </si>
  <si>
    <t xml:space="preserve"> 총인설비기자재는 업체에서 별도로 작성할 것인지?</t>
  </si>
  <si>
    <t xml:space="preserve">설치
안전</t>
  </si>
  <si>
    <t xml:space="preserve">안전관리</t>
  </si>
  <si>
    <t xml:space="preserve"> TBM(작업 전 안전회의)과 위험성평가를 실시하고 기록을 유지하는지?</t>
  </si>
  <si>
    <t xml:space="preserve">특수작업</t>
  </si>
  <si>
    <t xml:space="preserve"> 밀폐공간 가스측정·환기, 고소작업 추락방지 조치가 계획서대로 이행되는지?</t>
  </si>
  <si>
    <t xml:space="preserve">준공
도서</t>
  </si>
  <si>
    <t xml:space="preserve">보고서
·도면</t>
  </si>
  <si>
    <t xml:space="preserve"> 준공 보고서와 준공도면이 실제 현장과 동일하게 작성됐는지?</t>
  </si>
  <si>
    <t xml:space="preserve"> 설치 완료 사진을 요청하여 제대로 받았는지?</t>
  </si>
  <si>
    <t xml:space="preserve">정산</t>
  </si>
  <si>
    <t xml:space="preserve"> 실행품의 변동점과 정산 결과를 대조했는지? (CS 인계는 시운전 Check List에서)</t>
  </si>
  <si>
    <t xml:space="preserve">시운전 Check List</t>
  </si>
  <si>
    <t xml:space="preserve">시운전
계획</t>
  </si>
  <si>
    <t xml:space="preserve">선행
확인</t>
  </si>
  <si>
    <t xml:space="preserve"> 시공 Check List에 미완료(×) 항목이 없는지?</t>
  </si>
  <si>
    <t xml:space="preserve">계획서</t>
  </si>
  <si>
    <t xml:space="preserve"> 시운전 계획서를 감리단·감독관에 제출하고 승인받았는지?</t>
  </si>
  <si>
    <t xml:space="preserve"> 시운전 일정이 토목·건축·전기 공정 완료 시점과 맞는지?</t>
  </si>
  <si>
    <t xml:space="preserve">공급조건</t>
  </si>
  <si>
    <t xml:space="preserve"> 시운전 중 용수·전력·약품·운전인력 공급 주체가 확정됐는지?</t>
  </si>
  <si>
    <t xml:space="preserve"> 유입수 확보(하수 유입 또는 청수) 계획이 있는지?</t>
  </si>
  <si>
    <t xml:space="preserve">성능시험
조건</t>
  </si>
  <si>
    <t xml:space="preserve"> 보증수질 성능시험 조건(기간, 시료채취 지점·빈도, 판정방법)이 계약과 일치하는지?</t>
  </si>
  <si>
    <t xml:space="preserve">설치
완료
확인</t>
  </si>
  <si>
    <t xml:space="preserve">포기장치</t>
  </si>
  <si>
    <t xml:space="preserve"> 터빈 설치 레벨이 HWL·LWL 기준 깊이에 맞는지?</t>
  </si>
  <si>
    <t xml:space="preserve"> 십자구조물 높이와 위치가 도면대로 설치됐는지?</t>
  </si>
  <si>
    <t xml:space="preserve"> 감속기 오일 규격·주입량과 누유 여부를 확인했는지?</t>
  </si>
  <si>
    <t xml:space="preserve">배출장치</t>
  </si>
  <si>
    <t xml:space="preserve"> 디켄터 공기차단막이 부착됐는지?</t>
  </si>
  <si>
    <t xml:space="preserve"> GUIDE RAIL·FLOAT ARM 수직도와 윈치 와이어 장력이 정상인지?</t>
  </si>
  <si>
    <t xml:space="preserve"> 슬리브·배출관 BOP 레벨과 누수 여부를 확인했는지?</t>
  </si>
  <si>
    <t xml:space="preserve">전기
계장
확인</t>
  </si>
  <si>
    <t xml:space="preserve">전원</t>
  </si>
  <si>
    <t xml:space="preserve"> 절연저항·접지저항 측정값이 기준 이내인지?</t>
  </si>
  <si>
    <t xml:space="preserve"> 모터 상회전 방향과 터빈 회전방향이 일치하는지?</t>
  </si>
  <si>
    <t xml:space="preserve"> 인버터 파라미터(상한 주파수, 가감속)가 설정값대로 입력됐는지?</t>
  </si>
  <si>
    <t xml:space="preserve">계측·제어</t>
  </si>
  <si>
    <t xml:space="preserve"> 계측기(LS, LT, DO, MLSS) 교정과 지시값 검증이 됐는지?</t>
  </si>
  <si>
    <t xml:space="preserve"> 제어반 인터록(저수위 정지, 과부하, 비상정지)이 작동하는지?</t>
  </si>
  <si>
    <t xml:space="preserve"> 자동·수동 전환과 LOP 조작이 정상인지?</t>
  </si>
  <si>
    <t xml:space="preserve"> 상위 통신과 경보 신호가 정상 전송되는지?</t>
  </si>
  <si>
    <t xml:space="preserve">무부하
청수
시운전</t>
  </si>
  <si>
    <t xml:space="preserve">무부하</t>
  </si>
  <si>
    <t xml:space="preserve"> 무부하 단독운전 시 전류·진동·소음이 기준 이내인지?</t>
  </si>
  <si>
    <t xml:space="preserve"> 정격 RPM과 실제 운전 RPM이 일치하는지?</t>
  </si>
  <si>
    <t xml:space="preserve">청수</t>
  </si>
  <si>
    <t xml:space="preserve"> 청수 포기 운전에서 유동, 진동, 소음이 정상인지?</t>
  </si>
  <si>
    <t xml:space="preserve"> 디켄터 상하강 행정·시간과 리미트스위치 정지 위치가 정확한지?</t>
  </si>
  <si>
    <t xml:space="preserve"> 실측 배출시간이 설계 배출단계 시간 이내인지?</t>
  </si>
  <si>
    <t xml:space="preserve"> 배출 후 잔류수위(LWL)가 설계값과 일치하는지?</t>
  </si>
  <si>
    <t xml:space="preserve"> 공급펌프 기동·정지 수위와 사이클당 유입시간이 맞는지?</t>
  </si>
  <si>
    <t xml:space="preserve">실부하
시운전</t>
  </si>
  <si>
    <t xml:space="preserve">초기운전</t>
  </si>
  <si>
    <t xml:space="preserve"> 식종 슬러지 반입량·성상이 계획대로 확보됐는지?</t>
  </si>
  <si>
    <t xml:space="preserve"> 사이클 타임(유입/반응/침전/배출/휴지) 설정값이 설계와 일치하는지?</t>
  </si>
  <si>
    <t xml:space="preserve">운전관리</t>
  </si>
  <si>
    <t xml:space="preserve"> MLSS·SV30·DO·pH 일일 관리 기록이 유지되는지?</t>
  </si>
  <si>
    <t xml:space="preserve"> 침전단계 후 슬러지 계면이 배출고 아래로 유지되는지?</t>
  </si>
  <si>
    <t xml:space="preserve"> SRT에 맞춰 잉여슬러지 인발이 이뤄지는지?</t>
  </si>
  <si>
    <t xml:space="preserve"> 거품·슬러지 부상·사상균 발생 시 대응 조치를 기록했는지?</t>
  </si>
  <si>
    <t xml:space="preserve"> 동절기 저수온 시 질산화 저하 대응 방안이 있는지?</t>
  </si>
  <si>
    <t xml:space="preserve">연동운전</t>
  </si>
  <si>
    <t xml:space="preserve"> 총인처리설비·UV 소독설비와 연동 운전이 정상인지?</t>
  </si>
  <si>
    <t xml:space="preserve">성능
시험</t>
  </si>
  <si>
    <t xml:space="preserve">시료·분석</t>
  </si>
  <si>
    <t xml:space="preserve"> 계획한 지점·빈도로 채취한 시료의 공인 분석기관 성적서로 보증수질 만족을 확인했는지?</t>
  </si>
  <si>
    <t xml:space="preserve"> 계약 판정방법(평균·최대, 초과 허용 횟수) 기준으로 방류수 수질기준 대비 여유가 확보됐는지?</t>
  </si>
  <si>
    <t xml:space="preserve"> 미달 항목의 원인분석과 보완 조치를 기록했는지?</t>
  </si>
  <si>
    <t xml:space="preserve">인수
인계</t>
  </si>
  <si>
    <t xml:space="preserve">교육·문서</t>
  </si>
  <si>
    <t xml:space="preserve"> 운전메뉴얼(기계, 전기, 수질)을 제출했는지?</t>
  </si>
  <si>
    <t xml:space="preserve"> 발주처 운전인력 교육을 실시하고 기록을 남겼는지?</t>
  </si>
  <si>
    <t xml:space="preserve"> 시운전 결과보고서(운전기록, 수질성적서, 사진)를 제출했는지?</t>
  </si>
  <si>
    <t xml:space="preserve">인계</t>
  </si>
  <si>
    <t xml:space="preserve"> 예비품 납품과 보관 위치를 인계했는지?</t>
  </si>
  <si>
    <t xml:space="preserve"> 발주처에 사후관리 연락체계와 하자 범위를 안내했는지?</t>
  </si>
  <si>
    <t xml:space="preserve"> 준공도서 · 운영사 연락처 · 시공 Check List를 CS팀(업무협조전)에 인계했는지?</t>
  </si>
  <si>
    <t xml:space="preserve">변경 전</t>
  </si>
  <si>
    <t xml:space="preserve">변경 후</t>
  </si>
  <si>
    <t xml:space="preserve">사유</t>
  </si>
  <si>
    <t xml:space="preserve">오류 수정</t>
  </si>
  <si>
    <t xml:space="preserve">유입시간 판정 수식이 #REF! (기준 90분 칸 삭제됨)</t>
  </si>
  <si>
    <t xml:space="preserve">1번 섹션에 '공급펌프 유입시간 기준(지침)' 입력칸 신설(D18=90분), 판정·조건부서식 재연결</t>
  </si>
  <si>
    <t xml:space="preserve">자동 판정이 작동하지 않던 버그</t>
  </si>
  <si>
    <t xml:space="preserve">삭제</t>
  </si>
  <si>
    <t xml:space="preserve">2번 섹션 '1차 처리수조 운전 수위 및 유효수심 검토'</t>
  </si>
  <si>
    <t xml:space="preserve">삭제 (5번 섹션 '처리수조 유효용량 및 운전수위 검토'로 일원화)</t>
  </si>
  <si>
    <t xml:space="preserve">중복. 현장에 별도 1차 처리수조가 있으면 6번 기타에 추가</t>
  </si>
  <si>
    <t xml:space="preserve">병합</t>
  </si>
  <si>
    <t xml:space="preserve">'제어반 구성(인버터·PLC반/LOP 면수)' + '공법제어반 포함내용(PLC 이중화 등)'</t>
  </si>
  <si>
    <t xml:space="preserve">'제어반 구성 및 포함내용 검토 (인버터 · PLC 이중화 · LOP 면수)'</t>
  </si>
  <si>
    <t xml:space="preserve">같은 제어반 구성 확인</t>
  </si>
  <si>
    <t xml:space="preserve">'총인설비 공급 범위' + '총인 배관연결 scope'</t>
  </si>
  <si>
    <t xml:space="preserve">'총인설비 공급 범위 및 연결 scope 검토 (약품 · 배관 · 전기 · 제어)'</t>
  </si>
  <si>
    <t xml:space="preserve">같은 scope 확인</t>
  </si>
  <si>
    <t xml:space="preserve">이관</t>
  </si>
  <si>
    <t xml:space="preserve">시공 시트 '포기장치·제어반 반입 및 양중 경로'</t>
  </si>
  <si>
    <t xml:space="preserve">3번 섹션에 점검항목 추가</t>
  </si>
  <si>
    <t xml:space="preserve">설계도서 단계에서 검토할 항목</t>
  </si>
  <si>
    <t xml:space="preserve">시공 시트 '배출관 경로·레벨 (처리수조/총인설비까지)'</t>
  </si>
  <si>
    <t xml:space="preserve">5번 섹션에 점검항목 추가</t>
  </si>
  <si>
    <t xml:space="preserve">문구 보강</t>
  </si>
  <si>
    <t xml:space="preserve">덮개 / 포기장치 간섭 / (+)구조물 / 계측기 항목</t>
  </si>
  <si>
    <t xml:space="preserve">시공 시트의 점검구 · 설치 위치 · 두께·레벨 · 브라켓 내용을 문구에 흡수</t>
  </si>
  <si>
    <t xml:space="preserve">시공 시트 설계도서 검토 섹션 삭제에 따른 흡수</t>
  </si>
  <si>
    <t xml:space="preserve">시공</t>
  </si>
  <si>
    <t xml:space="preserve">축소</t>
  </si>
  <si>
    <t xml:space="preserve">'설계도서 검토' 16개 항목 (검토서와 중복)</t>
  </si>
  <si>
    <t xml:space="preserve">'설계 재검토' 2개 항목 + 검토서 미해소 · 설계변경 건수 자동 표시</t>
  </si>
  <si>
    <t xml:space="preserve">상세 검토는 검토서에서 1회만</t>
  </si>
  <si>
    <t xml:space="preserve">열 추가</t>
  </si>
  <si>
    <t xml:space="preserve">확인 열 없음</t>
  </si>
  <si>
    <t xml:space="preserve">D열 '확인'(○, ×, N/A) 신설, 비고는 E열</t>
  </si>
  <si>
    <t xml:space="preserve">시운전 단계에서 시공 미완료 건수 집계용</t>
  </si>
  <si>
    <t xml:space="preserve">제작승인도서 20개 항목</t>
  </si>
  <si>
    <t xml:space="preserve">12개 (제출시기·양식 / 시방서 차이·DEVIATION / 레벨·치수 4건 / 규격 2건 / 프로펠러·공기차단막 / 첨부서류 2건 병합)</t>
  </si>
  <si>
    <t xml:space="preserve">같은 확인 행위의 반복</t>
  </si>
  <si>
    <t xml:space="preserve">공장검사 첨부서류 2개, 준공 보고서·도면 2개</t>
  </si>
  <si>
    <t xml:space="preserve">각 1개</t>
  </si>
  <si>
    <t xml:space="preserve">동일 문구 반복</t>
  </si>
  <si>
    <t xml:space="preserve">범위 조정</t>
  </si>
  <si>
    <t xml:space="preserve">'정산 대조 + CS 인계 자료 확정'</t>
  </si>
  <si>
    <t xml:space="preserve">'정산 대조'만 유지</t>
  </si>
  <si>
    <t xml:space="preserve">CS 인계는 시운전 인수인계에서 1회만</t>
  </si>
  <si>
    <t xml:space="preserve">시운전</t>
  </si>
  <si>
    <t xml:space="preserve">추가</t>
  </si>
  <si>
    <t xml:space="preserve">'선행 확인: 시공 Check List 미완료(×) 건수' 자동 표시</t>
  </si>
  <si>
    <t xml:space="preserve">단계 간 재검토</t>
  </si>
  <si>
    <t xml:space="preserve">디켄터 '공기차단막+상하강 행정'과 '상하강 시간·리미트'</t>
  </si>
  <si>
    <t xml:space="preserve">설치확인=공기차단막, 청수시운전=행정·시간·리미트</t>
  </si>
  <si>
    <t xml:space="preserve">상하강 확인 중복</t>
  </si>
  <si>
    <t xml:space="preserve">성능시험 '시료채취 지점·빈도 계약 일치' / '판정방법 계약대로'</t>
  </si>
  <si>
    <t xml:space="preserve">계획단계 성능시험 조건에 지점·빈도 포함, 판정은 '판정방법 기준 여유 확보'로 통합</t>
  </si>
  <si>
    <t xml:space="preserve">계획단계 항목과 중복</t>
  </si>
  <si>
    <t xml:space="preserve">기술제안서</t>
  </si>
  <si>
    <t xml:space="preserve">유지</t>
  </si>
  <si>
    <t xml:space="preserve">변경 없음 (원본 그대로)</t>
  </si>
  <si>
    <t xml:space="preserve">제안 단계 고유 검토항목으로 유지</t>
  </si>
  <si>
    <t xml:space="preserve">설계</t>
  </si>
  <si>
    <t xml:space="preserve">변경 없음 (검토서 행 이동에 맞춰 참조 자동 갱신)</t>
  </si>
  <si>
    <t xml:space="preserve">기술제안 대비 실시설계 비교표로 역할이 겹치지 않음</t>
  </si>
  <si>
    <t xml:space="preserve">판정 기준</t>
  </si>
  <si>
    <t xml:space="preserve">배출소요시간 = Q/Cycle ÷ 배출유량</t>
  </si>
  <si>
    <t xml:space="preserve">배출 대상 유량(배출장치 설계유입량) 입력칸 신설, 배출소요시간을 QIN 기준으로 판정 (계산서와 같이 ROUND 3자리)</t>
  </si>
  <si>
    <t xml:space="preserve">잉여슬러지 인발로 수위가 낮아져 실제 배출량은 Q/Cycle보다 작음 — QIN 기준이 맞음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</si>
</sst>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"/>
    <numFmt numFmtId="167" formatCode="#,##0.0"/>
    <numFmt numFmtId="168" formatCode="0"/>
    <numFmt numFmtId="169" formatCode="0.0"/>
    <numFmt numFmtId="170" formatCode="0.00"/>
    <numFmt numFmtId="171" formatCode="0.0#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29"/>
    </font>
    <font>
      <b val="true"/>
      <sz val="16"/>
      <color rgb="FFFFFFFF"/>
      <name val="맑은 고딕"/>
      <family val="3"/>
      <charset val="129"/>
    </font>
    <font>
      <b val="true"/>
      <sz val="16"/>
      <color rgb="FFFFFFFF"/>
      <name val="Noto Sans CJK SC"/>
      <family val="2"/>
    </font>
    <font>
      <b val="true"/>
      <sz val="11"/>
      <color rgb="FFFFFFFF"/>
      <name val="맑은 고딕"/>
      <family val="3"/>
      <charset val="129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</font>
    <font>
      <b val="true"/>
      <sz val="10"/>
      <color rgb="FF0000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 val="true"/>
      <sz val="9"/>
      <color rgb="FF404040"/>
      <name val="Noto Sans CJK SC"/>
      <family val="2"/>
      <charset val="1"/>
    </font>
    <font>
      <b val="true"/>
      <sz val="16"/>
      <color rgb="FFFFFFFF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0000FF"/>
      <name val="맑은 고딕"/>
      <family val="3"/>
      <charset val="129"/>
    </font>
    <font>
      <sz val="8"/>
      <color rgb="FFA6A6A6"/>
      <name val="Noto Sans CJK SC"/>
      <family val="2"/>
      <charset val="1"/>
    </font>
    <font>
      <b val="true"/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color rgb="FF595959"/>
      <name val="Noto Sans CJK SC"/>
      <family val="2"/>
    </font>
    <font>
      <sz val="9"/>
      <color rgb="FF808080"/>
      <name val="Noto Sans CJK SC"/>
      <family val="2"/>
    </font>
    <font>
      <sz val="10"/>
      <name val="Arial"/>
      <family val="2"/>
    </font>
    <font>
      <b val="true"/>
      <sz val="11"/>
      <color theme="1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6"/>
      <color theme="0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맑은 고딕"/>
      <family val="3"/>
      <charset val="129"/>
    </font>
    <font>
      <b val="true"/>
      <sz val="11"/>
      <name val="Noto Sans CJK SC"/>
      <family val="2"/>
    </font>
    <font>
      <sz val="11"/>
      <name val="Noto Sans CJK SC"/>
      <family val="2"/>
      <charset val="1"/>
    </font>
    <font>
      <sz val="11"/>
      <name val="맑은 고딕"/>
      <family val="3"/>
      <charset val="129"/>
    </font>
    <font>
      <sz val="11"/>
      <name val="Noto Sans CJK SC"/>
      <family val="2"/>
    </font>
    <font>
      <b val="true"/>
      <sz val="16"/>
      <color rgb="FFFFFFFF"/>
      <name val="Noto Sans CJK SC"/>
      <family val="3"/>
      <charset val="129"/>
    </font>
    <font>
      <b val="true"/>
      <sz val="11"/>
      <name val="Noto Sans CJK SC"/>
      <family val="0"/>
      <charset val="1"/>
    </font>
    <font>
      <sz val="11"/>
      <name val="Noto Sans CJK SC"/>
      <family val="0"/>
      <charset val="1"/>
    </font>
    <font>
      <b val="true"/>
      <sz val="16"/>
      <color rgb="FFFFFFFF"/>
      <name val="Noto Sans CJK SC"/>
      <family val="2"/>
      <charset val="129"/>
    </font>
    <font>
      <b val="true"/>
      <sz val="10"/>
      <name val="Noto Sans CJK SC"/>
      <family val="0"/>
      <charset val="1"/>
    </font>
    <font>
      <sz val="10"/>
      <name val="Noto Sans CJK S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43F60"/>
        <bgColor rgb="FF404040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F2F2F2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 diagonalUp="false" diagonalDown="false"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 diagonalUp="false" diagonalDown="false"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999999"/>
      </left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</cellStyles>
  <dxfs count="3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00FF"/>
      </font>
      <fill>
        <patternFill>
          <bgColor rgb="FFDDEBF7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243F60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E70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15" activeCellId="0" sqref="D1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50"/>
    <col collapsed="false" customWidth="true" hidden="false" outlineLevel="0" max="5" min="5" style="1" width="30"/>
  </cols>
  <sheetData>
    <row r="1" customFormat="false" ht="33" hidden="false" customHeight="true" outlineLevel="0" collapsed="false">
      <c r="B1" s="2" t="s">
        <v>0</v>
      </c>
      <c r="C1" s="2"/>
      <c r="D1" s="2"/>
      <c r="E1" s="2"/>
    </row>
    <row r="3" customFormat="false" ht="21" hidden="false" customHeight="true" outlineLevel="0" collapsed="false">
      <c r="B3" s="3" t="s">
        <v>1</v>
      </c>
      <c r="C3" s="3"/>
      <c r="D3" s="3"/>
      <c r="E3" s="3"/>
    </row>
    <row r="4" customFormat="false" ht="1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</row>
    <row r="5" customFormat="false" ht="36" hidden="false" customHeight="true" outlineLevel="0" collapsed="false">
      <c r="B5" s="5" t="s">
        <v>6</v>
      </c>
      <c r="C5" s="5" t="s">
        <v>7</v>
      </c>
      <c r="D5" s="6" t="s">
        <v>8</v>
      </c>
      <c r="E5" s="5"/>
    </row>
    <row r="6" customFormat="false" ht="51" hidden="false" customHeight="true" outlineLevel="0" collapsed="false">
      <c r="B6" s="5" t="s">
        <v>9</v>
      </c>
      <c r="C6" s="5" t="s">
        <v>10</v>
      </c>
      <c r="D6" s="6" t="s">
        <v>11</v>
      </c>
      <c r="E6" s="5" t="s">
        <v>12</v>
      </c>
    </row>
    <row r="7" customFormat="false" ht="51" hidden="false" customHeight="true" outlineLevel="0" collapsed="false">
      <c r="B7" s="5" t="s">
        <v>13</v>
      </c>
      <c r="C7" s="5" t="s">
        <v>14</v>
      </c>
      <c r="D7" s="5" t="s">
        <v>15</v>
      </c>
      <c r="E7" s="5" t="s">
        <v>16</v>
      </c>
    </row>
    <row r="9" customFormat="false" ht="21" hidden="false" customHeight="true" outlineLevel="0" collapsed="false">
      <c r="B9" s="3" t="s">
        <v>17</v>
      </c>
      <c r="C9" s="3"/>
      <c r="D9" s="3"/>
      <c r="E9" s="3"/>
    </row>
    <row r="10" customFormat="false" ht="15" hidden="false" customHeight="true" outlineLevel="0" collapsed="false">
      <c r="B10" s="4" t="s">
        <v>18</v>
      </c>
      <c r="C10" s="4" t="s">
        <v>19</v>
      </c>
      <c r="D10" s="4" t="s">
        <v>20</v>
      </c>
      <c r="E10" s="4"/>
    </row>
    <row r="11" customFormat="false" ht="51" hidden="false" customHeight="true" outlineLevel="0" collapsed="false">
      <c r="B11" s="5" t="s">
        <v>21</v>
      </c>
      <c r="C11" s="5" t="s">
        <v>22</v>
      </c>
      <c r="D11" s="5" t="s">
        <v>23</v>
      </c>
      <c r="E11" s="5"/>
    </row>
    <row r="12" customFormat="false" ht="66" hidden="false" customHeight="true" outlineLevel="0" collapsed="false">
      <c r="B12" s="6" t="s">
        <v>24</v>
      </c>
      <c r="C12" s="6" t="s">
        <v>25</v>
      </c>
      <c r="D12" s="5" t="s">
        <v>26</v>
      </c>
      <c r="E12" s="5"/>
    </row>
    <row r="13" customFormat="false" ht="51" hidden="false" customHeight="true" outlineLevel="0" collapsed="false">
      <c r="B13" s="5" t="s">
        <v>27</v>
      </c>
      <c r="C13" s="5" t="s">
        <v>28</v>
      </c>
      <c r="D13" s="5" t="s">
        <v>29</v>
      </c>
      <c r="E13" s="5"/>
    </row>
    <row r="14" customFormat="false" ht="36" hidden="false" customHeight="true" outlineLevel="0" collapsed="false">
      <c r="B14" s="6" t="s">
        <v>30</v>
      </c>
      <c r="C14" s="6" t="s">
        <v>31</v>
      </c>
      <c r="D14" s="6" t="s">
        <v>32</v>
      </c>
      <c r="E14" s="6"/>
    </row>
    <row r="15" customFormat="false" ht="51" hidden="false" customHeight="true" outlineLevel="0" collapsed="false">
      <c r="B15" s="5" t="s">
        <v>33</v>
      </c>
      <c r="C15" s="5" t="s">
        <v>34</v>
      </c>
      <c r="D15" s="6" t="s">
        <v>35</v>
      </c>
      <c r="E15" s="6"/>
    </row>
    <row r="16" customFormat="false" ht="36" hidden="false" customHeight="true" outlineLevel="0" collapsed="false">
      <c r="B16" s="5" t="s">
        <v>36</v>
      </c>
      <c r="C16" s="5" t="s">
        <v>37</v>
      </c>
      <c r="D16" s="5"/>
      <c r="E16" s="5"/>
    </row>
    <row r="18" customFormat="false" ht="21" hidden="false" customHeight="true" outlineLevel="0" collapsed="false">
      <c r="B18" s="3" t="s">
        <v>38</v>
      </c>
      <c r="C18" s="3"/>
      <c r="D18" s="3"/>
      <c r="E18" s="3"/>
    </row>
    <row r="19" customFormat="false" ht="15" hidden="false" customHeight="true" outlineLevel="0" collapsed="false">
      <c r="B19" s="4" t="s">
        <v>39</v>
      </c>
      <c r="C19" s="4" t="s">
        <v>40</v>
      </c>
      <c r="D19" s="4" t="s">
        <v>41</v>
      </c>
      <c r="E19" s="4"/>
    </row>
    <row r="20" customFormat="false" ht="21" hidden="false" customHeight="true" outlineLevel="0" collapsed="false">
      <c r="B20" s="7" t="s">
        <v>42</v>
      </c>
      <c r="C20" s="5" t="s">
        <v>43</v>
      </c>
      <c r="D20" s="5" t="s">
        <v>44</v>
      </c>
      <c r="E20" s="5"/>
    </row>
    <row r="21" customFormat="false" ht="21" hidden="false" customHeight="true" outlineLevel="0" collapsed="false">
      <c r="B21" s="8" t="s">
        <v>45</v>
      </c>
      <c r="C21" s="5" t="s">
        <v>46</v>
      </c>
      <c r="D21" s="5" t="s">
        <v>47</v>
      </c>
      <c r="E21" s="5"/>
    </row>
    <row r="22" customFormat="false" ht="21" hidden="false" customHeight="true" outlineLevel="0" collapsed="false">
      <c r="B22" s="9" t="s">
        <v>48</v>
      </c>
      <c r="C22" s="5" t="s">
        <v>49</v>
      </c>
      <c r="D22" s="5" t="s">
        <v>50</v>
      </c>
      <c r="E22" s="5"/>
    </row>
    <row r="23" customFormat="false" ht="36" hidden="false" customHeight="true" outlineLevel="0" collapsed="false">
      <c r="B23" s="5" t="s">
        <v>51</v>
      </c>
      <c r="C23" s="5" t="s">
        <v>52</v>
      </c>
      <c r="D23" s="5" t="s">
        <v>53</v>
      </c>
      <c r="E23" s="5"/>
    </row>
    <row r="25" customFormat="false" ht="21" hidden="false" customHeight="true" outlineLevel="0" collapsed="false">
      <c r="B25" s="3" t="s">
        <v>54</v>
      </c>
      <c r="C25" s="3"/>
      <c r="D25" s="3"/>
      <c r="E25" s="3"/>
    </row>
    <row r="26" customFormat="false" ht="15" hidden="false" customHeight="true" outlineLevel="0" collapsed="false">
      <c r="B26" s="4" t="s">
        <v>55</v>
      </c>
      <c r="C26" s="4" t="s">
        <v>56</v>
      </c>
      <c r="D26" s="4" t="s">
        <v>57</v>
      </c>
      <c r="E26" s="4"/>
    </row>
    <row r="27" customFormat="false" ht="21" hidden="false" customHeight="true" outlineLevel="0" collapsed="false">
      <c r="B27" s="5" t="s">
        <v>58</v>
      </c>
      <c r="C27" s="5" t="s">
        <v>59</v>
      </c>
      <c r="D27" s="5" t="s">
        <v>60</v>
      </c>
      <c r="E27" s="5"/>
    </row>
    <row r="28" customFormat="false" ht="36" hidden="false" customHeight="true" outlineLevel="0" collapsed="false">
      <c r="B28" s="5" t="s">
        <v>61</v>
      </c>
      <c r="C28" s="5" t="s">
        <v>62</v>
      </c>
      <c r="D28" s="5" t="s">
        <v>63</v>
      </c>
      <c r="E28" s="5"/>
    </row>
    <row r="29" customFormat="false" ht="36" hidden="false" customHeight="true" outlineLevel="0" collapsed="false">
      <c r="B29" s="5" t="s">
        <v>64</v>
      </c>
      <c r="C29" s="5" t="s">
        <v>65</v>
      </c>
      <c r="D29" s="5" t="s">
        <v>66</v>
      </c>
      <c r="E29" s="5"/>
    </row>
    <row r="31" customFormat="false" ht="21" hidden="false" customHeight="true" outlineLevel="0" collapsed="false">
      <c r="B31" s="3" t="s">
        <v>67</v>
      </c>
      <c r="C31" s="3"/>
      <c r="D31" s="3"/>
      <c r="E31" s="3"/>
    </row>
    <row r="32" customFormat="false" ht="15" hidden="false" customHeight="true" outlineLevel="0" collapsed="false">
      <c r="B32" s="4" t="s">
        <v>68</v>
      </c>
      <c r="C32" s="4" t="s">
        <v>69</v>
      </c>
      <c r="D32" s="4" t="s">
        <v>70</v>
      </c>
      <c r="E32" s="4"/>
    </row>
    <row r="33" customFormat="false" ht="36" hidden="false" customHeight="true" outlineLevel="0" collapsed="false">
      <c r="B33" s="6" t="s">
        <v>71</v>
      </c>
      <c r="C33" s="5" t="s">
        <v>72</v>
      </c>
      <c r="D33" s="5" t="s">
        <v>73</v>
      </c>
      <c r="E33" s="5"/>
    </row>
    <row r="34" customFormat="false" ht="51" hidden="false" customHeight="true" outlineLevel="0" collapsed="false">
      <c r="B34" s="5" t="s">
        <v>74</v>
      </c>
      <c r="C34" s="5" t="s">
        <v>75</v>
      </c>
      <c r="D34" s="5" t="s">
        <v>76</v>
      </c>
      <c r="E34" s="5"/>
    </row>
    <row r="35" customFormat="false" ht="51" hidden="false" customHeight="true" outlineLevel="0" collapsed="false">
      <c r="B35" s="5" t="s">
        <v>77</v>
      </c>
      <c r="C35" s="5" t="s">
        <v>78</v>
      </c>
      <c r="D35" s="5" t="s">
        <v>79</v>
      </c>
      <c r="E35" s="5"/>
    </row>
    <row r="36" customFormat="false" ht="51" hidden="false" customHeight="true" outlineLevel="0" collapsed="false">
      <c r="B36" s="5" t="s">
        <v>80</v>
      </c>
      <c r="C36" s="5" t="s">
        <v>81</v>
      </c>
      <c r="D36" s="5" t="s">
        <v>82</v>
      </c>
      <c r="E36" s="5"/>
    </row>
    <row r="37" customFormat="false" ht="36" hidden="false" customHeight="true" outlineLevel="0" collapsed="false">
      <c r="B37" s="5" t="s">
        <v>83</v>
      </c>
      <c r="C37" s="5" t="s">
        <v>84</v>
      </c>
      <c r="D37" s="5" t="s">
        <v>85</v>
      </c>
      <c r="E37" s="5"/>
    </row>
    <row r="38" customFormat="false" ht="66" hidden="false" customHeight="true" outlineLevel="0" collapsed="false">
      <c r="B38" s="5" t="s">
        <v>86</v>
      </c>
      <c r="C38" s="5" t="s">
        <v>87</v>
      </c>
      <c r="D38" s="5" t="s">
        <v>88</v>
      </c>
      <c r="E38" s="5"/>
    </row>
    <row r="39" customFormat="false" ht="36" hidden="false" customHeight="true" outlineLevel="0" collapsed="false">
      <c r="B39" s="6" t="s">
        <v>89</v>
      </c>
      <c r="C39" s="5" t="s">
        <v>90</v>
      </c>
      <c r="D39" s="5" t="s">
        <v>91</v>
      </c>
      <c r="E39" s="5"/>
    </row>
    <row r="40" customFormat="false" ht="21" hidden="false" customHeight="true" outlineLevel="0" collapsed="false">
      <c r="B40" s="6" t="s">
        <v>92</v>
      </c>
      <c r="C40" s="5" t="s">
        <v>93</v>
      </c>
      <c r="D40" s="5" t="s">
        <v>94</v>
      </c>
      <c r="E40" s="5"/>
    </row>
    <row r="41" customFormat="false" ht="36" hidden="false" customHeight="true" outlineLevel="0" collapsed="false">
      <c r="B41" s="5" t="s">
        <v>95</v>
      </c>
      <c r="C41" s="5" t="s">
        <v>96</v>
      </c>
      <c r="D41" s="5" t="s">
        <v>97</v>
      </c>
      <c r="E41" s="5"/>
    </row>
    <row r="43" customFormat="false" ht="21" hidden="false" customHeight="true" outlineLevel="0" collapsed="false">
      <c r="B43" s="3" t="s">
        <v>98</v>
      </c>
      <c r="C43" s="3"/>
      <c r="D43" s="3"/>
      <c r="E43" s="3"/>
    </row>
    <row r="44" customFormat="false" ht="15" hidden="false" customHeight="true" outlineLevel="0" collapsed="false">
      <c r="B44" s="4" t="s">
        <v>99</v>
      </c>
      <c r="C44" s="4" t="s">
        <v>100</v>
      </c>
      <c r="D44" s="4" t="s">
        <v>101</v>
      </c>
      <c r="E44" s="4"/>
    </row>
    <row r="45" customFormat="false" ht="36" hidden="false" customHeight="true" outlineLevel="0" collapsed="false">
      <c r="B45" s="5" t="s">
        <v>102</v>
      </c>
      <c r="C45" s="5" t="s">
        <v>103</v>
      </c>
      <c r="D45" s="6" t="s">
        <v>104</v>
      </c>
      <c r="E45" s="6"/>
    </row>
    <row r="46" customFormat="false" ht="36" hidden="false" customHeight="true" outlineLevel="0" collapsed="false">
      <c r="B46" s="5" t="s">
        <v>102</v>
      </c>
      <c r="C46" s="5" t="s">
        <v>105</v>
      </c>
      <c r="D46" s="5" t="s">
        <v>106</v>
      </c>
      <c r="E46" s="5"/>
    </row>
    <row r="47" customFormat="false" ht="36" hidden="false" customHeight="true" outlineLevel="0" collapsed="false">
      <c r="B47" s="5" t="s">
        <v>107</v>
      </c>
      <c r="C47" s="5" t="s">
        <v>108</v>
      </c>
      <c r="D47" s="5" t="s">
        <v>109</v>
      </c>
      <c r="E47" s="5"/>
    </row>
    <row r="48" customFormat="false" ht="66" hidden="false" customHeight="true" outlineLevel="0" collapsed="false">
      <c r="B48" s="5" t="s">
        <v>110</v>
      </c>
      <c r="C48" s="5" t="s">
        <v>111</v>
      </c>
      <c r="D48" s="5" t="s">
        <v>112</v>
      </c>
      <c r="E48" s="5"/>
    </row>
    <row r="50" customFormat="false" ht="21" hidden="false" customHeight="true" outlineLevel="0" collapsed="false">
      <c r="B50" s="3" t="s">
        <v>113</v>
      </c>
      <c r="C50" s="3"/>
      <c r="D50" s="3"/>
      <c r="E50" s="3"/>
    </row>
    <row r="51" customFormat="false" ht="15" hidden="false" customHeight="true" outlineLevel="0" collapsed="false">
      <c r="B51" s="4" t="s">
        <v>114</v>
      </c>
      <c r="C51" s="4" t="s">
        <v>115</v>
      </c>
      <c r="D51" s="4" t="s">
        <v>55</v>
      </c>
      <c r="E51" s="4" t="s">
        <v>116</v>
      </c>
    </row>
    <row r="52" customFormat="false" ht="36" hidden="false" customHeight="true" outlineLevel="0" collapsed="false">
      <c r="B52" s="5" t="s">
        <v>77</v>
      </c>
      <c r="C52" s="5" t="s">
        <v>117</v>
      </c>
      <c r="D52" s="5" t="s">
        <v>118</v>
      </c>
      <c r="E52" s="5" t="s">
        <v>119</v>
      </c>
    </row>
    <row r="53" customFormat="false" ht="36" hidden="false" customHeight="true" outlineLevel="0" collapsed="false">
      <c r="B53" s="5" t="s">
        <v>120</v>
      </c>
      <c r="C53" s="5" t="s">
        <v>121</v>
      </c>
      <c r="D53" s="5" t="s">
        <v>61</v>
      </c>
      <c r="E53" s="5" t="s">
        <v>122</v>
      </c>
    </row>
    <row r="54" customFormat="false" ht="21" hidden="false" customHeight="true" outlineLevel="0" collapsed="false">
      <c r="B54" s="5" t="s">
        <v>83</v>
      </c>
      <c r="C54" s="5" t="s">
        <v>123</v>
      </c>
      <c r="D54" s="5" t="s">
        <v>118</v>
      </c>
      <c r="E54" s="5" t="s">
        <v>124</v>
      </c>
    </row>
    <row r="55" customFormat="false" ht="21" hidden="false" customHeight="true" outlineLevel="0" collapsed="false">
      <c r="B55" s="5" t="s">
        <v>125</v>
      </c>
      <c r="C55" s="5" t="s">
        <v>126</v>
      </c>
      <c r="D55" s="5" t="s">
        <v>58</v>
      </c>
      <c r="E55" s="5" t="s">
        <v>127</v>
      </c>
    </row>
    <row r="56" customFormat="false" ht="36" hidden="false" customHeight="true" outlineLevel="0" collapsed="false">
      <c r="B56" s="5" t="s">
        <v>128</v>
      </c>
      <c r="C56" s="6" t="s">
        <v>129</v>
      </c>
      <c r="D56" s="5" t="s">
        <v>58</v>
      </c>
      <c r="E56" s="5"/>
    </row>
    <row r="57" customFormat="false" ht="36" hidden="false" customHeight="true" outlineLevel="0" collapsed="false">
      <c r="B57" s="5" t="s">
        <v>130</v>
      </c>
      <c r="C57" s="5" t="s">
        <v>131</v>
      </c>
      <c r="D57" s="5" t="s">
        <v>61</v>
      </c>
      <c r="E57" s="5" t="s">
        <v>132</v>
      </c>
    </row>
    <row r="58" customFormat="false" ht="21" hidden="false" customHeight="true" outlineLevel="0" collapsed="false">
      <c r="B58" s="5" t="s">
        <v>133</v>
      </c>
      <c r="C58" s="5" t="s">
        <v>134</v>
      </c>
      <c r="D58" s="5" t="s">
        <v>58</v>
      </c>
      <c r="E58" s="5"/>
    </row>
    <row r="59" customFormat="false" ht="21" hidden="false" customHeight="true" outlineLevel="0" collapsed="false">
      <c r="B59" s="6" t="s">
        <v>135</v>
      </c>
      <c r="C59" s="6" t="s">
        <v>136</v>
      </c>
      <c r="D59" s="5" t="s">
        <v>58</v>
      </c>
      <c r="E59" s="5"/>
    </row>
    <row r="60" customFormat="false" ht="21" hidden="false" customHeight="true" outlineLevel="0" collapsed="false">
      <c r="B60" s="5" t="s">
        <v>137</v>
      </c>
      <c r="C60" s="5" t="s">
        <v>138</v>
      </c>
      <c r="D60" s="5" t="s">
        <v>58</v>
      </c>
      <c r="E60" s="5"/>
    </row>
    <row r="61" customFormat="false" ht="36" hidden="false" customHeight="true" outlineLevel="0" collapsed="false">
      <c r="B61" s="5" t="s">
        <v>139</v>
      </c>
      <c r="C61" s="5" t="s">
        <v>140</v>
      </c>
      <c r="D61" s="5" t="s">
        <v>58</v>
      </c>
      <c r="E61" s="5" t="s">
        <v>141</v>
      </c>
    </row>
    <row r="63" customFormat="false" ht="21" hidden="false" customHeight="true" outlineLevel="0" collapsed="false">
      <c r="B63" s="3" t="s">
        <v>142</v>
      </c>
      <c r="C63" s="3"/>
      <c r="D63" s="3"/>
      <c r="E63" s="3"/>
    </row>
    <row r="64" customFormat="false" ht="15" hidden="false" customHeight="true" outlineLevel="0" collapsed="false">
      <c r="B64" s="4" t="s">
        <v>143</v>
      </c>
      <c r="C64" s="4" t="s">
        <v>101</v>
      </c>
      <c r="D64" s="4"/>
      <c r="E64" s="4"/>
    </row>
    <row r="65" customFormat="false" ht="36" hidden="false" customHeight="true" outlineLevel="0" collapsed="false">
      <c r="B65" s="5" t="s">
        <v>144</v>
      </c>
      <c r="C65" s="5" t="s">
        <v>145</v>
      </c>
      <c r="D65" s="5"/>
      <c r="E65" s="5"/>
    </row>
    <row r="66" customFormat="false" ht="21" hidden="false" customHeight="true" outlineLevel="0" collapsed="false">
      <c r="B66" s="5" t="s">
        <v>146</v>
      </c>
      <c r="C66" s="6" t="s">
        <v>147</v>
      </c>
      <c r="D66" s="6"/>
      <c r="E66" s="6"/>
    </row>
    <row r="67" customFormat="false" ht="21" hidden="false" customHeight="true" outlineLevel="0" collapsed="false">
      <c r="B67" s="5" t="s">
        <v>148</v>
      </c>
      <c r="C67" s="6" t="s">
        <v>149</v>
      </c>
      <c r="D67" s="6"/>
      <c r="E67" s="6"/>
    </row>
    <row r="68" customFormat="false" ht="36" hidden="false" customHeight="true" outlineLevel="0" collapsed="false">
      <c r="B68" s="5" t="s">
        <v>150</v>
      </c>
      <c r="C68" s="5" t="s">
        <v>151</v>
      </c>
      <c r="D68" s="5"/>
      <c r="E68" s="5"/>
    </row>
    <row r="69" customFormat="false" ht="21" hidden="false" customHeight="true" outlineLevel="0" collapsed="false">
      <c r="B69" s="5" t="s">
        <v>152</v>
      </c>
      <c r="C69" s="5" t="s">
        <v>153</v>
      </c>
      <c r="D69" s="5"/>
      <c r="E69" s="5"/>
    </row>
    <row r="70" customFormat="false" ht="36" hidden="false" customHeight="true" outlineLevel="0" collapsed="false">
      <c r="B70" s="5" t="s">
        <v>154</v>
      </c>
      <c r="C70" s="6" t="s">
        <v>155</v>
      </c>
      <c r="D70" s="6"/>
      <c r="E70" s="6"/>
    </row>
  </sheetData>
  <mergeCells count="47">
    <mergeCell ref="B1:E1"/>
    <mergeCell ref="B3:E3"/>
    <mergeCell ref="B9:E9"/>
    <mergeCell ref="D10:E10"/>
    <mergeCell ref="D11:E11"/>
    <mergeCell ref="D12:E12"/>
    <mergeCell ref="D13:E13"/>
    <mergeCell ref="D14:E14"/>
    <mergeCell ref="D15:E15"/>
    <mergeCell ref="D16:E16"/>
    <mergeCell ref="B18:E18"/>
    <mergeCell ref="D19:E19"/>
    <mergeCell ref="D20:E20"/>
    <mergeCell ref="D21:E21"/>
    <mergeCell ref="D22:E22"/>
    <mergeCell ref="D23:E23"/>
    <mergeCell ref="B25:E25"/>
    <mergeCell ref="D26:E26"/>
    <mergeCell ref="D27:E27"/>
    <mergeCell ref="D28:E28"/>
    <mergeCell ref="D29:E29"/>
    <mergeCell ref="B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B43:E43"/>
    <mergeCell ref="D44:E44"/>
    <mergeCell ref="D45:E45"/>
    <mergeCell ref="D46:E46"/>
    <mergeCell ref="D47:E47"/>
    <mergeCell ref="D48:E48"/>
    <mergeCell ref="B50:E50"/>
    <mergeCell ref="B63:E63"/>
    <mergeCell ref="C64:E64"/>
    <mergeCell ref="C65:E65"/>
    <mergeCell ref="C66:E66"/>
    <mergeCell ref="C67:E67"/>
    <mergeCell ref="C68:E68"/>
    <mergeCell ref="C69:E69"/>
    <mergeCell ref="C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F60"/>
    <pageSetUpPr fitToPage="true"/>
  </sheetPr>
  <dimension ref="A1:K117"/>
  <sheetViews>
    <sheetView showFormulas="false" showGridLines="false" showRowColHeaders="true" showZeros="true" rightToLeft="false" tabSelected="false" showOutlineSymbols="true" defaultGridColor="true" view="normal" topLeftCell="A101" colorId="64" zoomScale="100" zoomScaleNormal="100" zoomScalePageLayoutView="100" workbookViewId="0">
      <selection pane="topLeft" activeCell="C108" activeCellId="0" sqref="C10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9.57"/>
    <col collapsed="false" customWidth="true" hidden="false" outlineLevel="0" max="7" min="7" style="1" width="46"/>
    <col collapsed="false" customWidth="true" hidden="false" outlineLevel="0" max="8" min="8" style="1" width="22"/>
    <col collapsed="false" customWidth="true" hidden="true" outlineLevel="0" max="9" min="9" style="1" width="4"/>
    <col collapsed="false" customWidth="true" hidden="true" outlineLevel="0" max="10" min="10" style="1" width="40"/>
    <col collapsed="false" customWidth="true" hidden="true" outlineLevel="0" max="11" min="11" style="1" width="4"/>
  </cols>
  <sheetData>
    <row r="1" customFormat="false" ht="33" hidden="false" customHeight="true" outlineLevel="0" collapsed="false">
      <c r="A1" s="10" t="str">
        <f aca="false">IF($C$3="","설계성과품 검토서",$C$3&amp;" 설계성과품 검토서")</f>
        <v>설계성과품 검토서</v>
      </c>
      <c r="B1" s="10"/>
      <c r="C1" s="10"/>
      <c r="D1" s="10"/>
      <c r="E1" s="10"/>
      <c r="F1" s="10"/>
      <c r="G1" s="10"/>
      <c r="H1" s="10"/>
    </row>
    <row r="2" customFormat="false" ht="27.75" hidden="false" customHeight="true" outlineLevel="0" collapsed="false">
      <c r="A2" s="11" t="s">
        <v>156</v>
      </c>
      <c r="B2" s="11"/>
      <c r="C2" s="11"/>
      <c r="D2" s="11"/>
      <c r="E2" s="11"/>
      <c r="F2" s="11"/>
      <c r="G2" s="11"/>
      <c r="H2" s="11"/>
    </row>
    <row r="3" customFormat="false" ht="21.75" hidden="false" customHeight="true" outlineLevel="0" collapsed="false">
      <c r="A3" s="9" t="s">
        <v>157</v>
      </c>
      <c r="B3" s="9"/>
      <c r="C3" s="12"/>
      <c r="D3" s="12"/>
      <c r="E3" s="12"/>
      <c r="F3" s="12"/>
      <c r="G3" s="12"/>
      <c r="H3" s="12"/>
    </row>
    <row r="4" customFormat="false" ht="21.75" hidden="false" customHeight="true" outlineLevel="0" collapsed="false">
      <c r="A4" s="9" t="s">
        <v>158</v>
      </c>
      <c r="B4" s="9"/>
      <c r="C4" s="12"/>
      <c r="D4" s="12"/>
      <c r="E4" s="12"/>
      <c r="F4" s="12"/>
      <c r="G4" s="12"/>
      <c r="H4" s="12"/>
    </row>
    <row r="5" customFormat="false" ht="21.75" hidden="false" customHeight="true" outlineLevel="0" collapsed="false">
      <c r="A5" s="9" t="s">
        <v>159</v>
      </c>
      <c r="B5" s="9"/>
      <c r="C5" s="12"/>
      <c r="D5" s="12"/>
      <c r="E5" s="12"/>
      <c r="F5" s="12"/>
      <c r="G5" s="12"/>
      <c r="H5" s="12"/>
    </row>
    <row r="6" customFormat="false" ht="21.75" hidden="false" customHeight="true" outlineLevel="0" collapsed="false">
      <c r="A6" s="9" t="s">
        <v>160</v>
      </c>
      <c r="B6" s="9"/>
      <c r="C6" s="12"/>
      <c r="D6" s="12"/>
      <c r="E6" s="12"/>
      <c r="F6" s="12"/>
      <c r="G6" s="12"/>
      <c r="H6" s="12"/>
    </row>
    <row r="7" customFormat="false" ht="24" hidden="false" customHeight="true" outlineLevel="0" collapsed="false">
      <c r="A7" s="9" t="s">
        <v>161</v>
      </c>
      <c r="B7" s="9"/>
      <c r="C7" s="13" t="str">
        <f aca="false">"전체 "&amp;SUM($K$1:$K$105)&amp;"건  ·  확인 "&amp;COUNTIF($F$1:$F$105,"확인")&amp;"  ·  검토 "&amp;COUNTIF($F$1:$F$105,"검토")&amp;"  ·  부적합 "&amp;COUNTIF($F$1:$F$105,"부적합")&amp;"  ·  미작성 "&amp;(SUM($K$1:$K$105)-COUNTIF($F$1:$F$105,"확인")-COUNTIF($F$1:$F$105,"검토")-COUNTIF($F$1:$F$105,"부적합"))</f>
        <v>전체 37건  ·  확인 0  ·  검토 0  ·  부적합 0  ·  미작성 37</v>
      </c>
      <c r="D7" s="13"/>
      <c r="E7" s="13"/>
      <c r="F7" s="13"/>
      <c r="G7" s="13"/>
      <c r="H7" s="13"/>
    </row>
    <row r="8" customFormat="false" ht="15" hidden="false" customHeight="true" outlineLevel="0" collapsed="false">
      <c r="I8" s="14" t="s">
        <v>162</v>
      </c>
      <c r="J8" s="14" t="s">
        <v>163</v>
      </c>
      <c r="K8" s="14" t="s">
        <v>164</v>
      </c>
    </row>
    <row r="9" customFormat="false" ht="21" hidden="false" customHeight="true" outlineLevel="0" collapsed="false">
      <c r="A9" s="3" t="s">
        <v>165</v>
      </c>
      <c r="B9" s="3"/>
      <c r="C9" s="3"/>
      <c r="D9" s="3"/>
      <c r="E9" s="3"/>
      <c r="F9" s="3"/>
      <c r="G9" s="3"/>
      <c r="H9" s="3"/>
    </row>
    <row r="10" customFormat="false" ht="18.75" hidden="false" customHeight="true" outlineLevel="0" collapsed="false">
      <c r="A10" s="15" t="s">
        <v>166</v>
      </c>
      <c r="B10" s="4" t="s">
        <v>143</v>
      </c>
      <c r="C10" s="4" t="s">
        <v>114</v>
      </c>
      <c r="D10" s="4" t="s">
        <v>167</v>
      </c>
      <c r="E10" s="4" t="s">
        <v>168</v>
      </c>
      <c r="F10" s="4" t="s">
        <v>55</v>
      </c>
      <c r="G10" s="4" t="s">
        <v>169</v>
      </c>
      <c r="H10" s="4" t="s">
        <v>5</v>
      </c>
    </row>
    <row r="11" customFormat="false" ht="21" hidden="false" customHeight="true" outlineLevel="0" collapsed="false">
      <c r="A11" s="16" t="n">
        <f aca="false">IF(C11="","",COUNTA(C$11:C11))</f>
        <v>1</v>
      </c>
      <c r="B11" s="17" t="s">
        <v>170</v>
      </c>
      <c r="C11" s="5" t="s">
        <v>171</v>
      </c>
      <c r="D11" s="18"/>
      <c r="E11" s="19" t="s">
        <v>172</v>
      </c>
      <c r="F11" s="20"/>
      <c r="G11" s="20"/>
      <c r="H11" s="21"/>
    </row>
    <row r="12" customFormat="false" ht="21" hidden="false" customHeight="true" outlineLevel="0" collapsed="false">
      <c r="A12" s="17" t="n">
        <f aca="false">IF(C12="","",COUNTA(C$11:C12))</f>
        <v>2</v>
      </c>
      <c r="B12" s="17" t="s">
        <v>170</v>
      </c>
      <c r="C12" s="5" t="s">
        <v>173</v>
      </c>
      <c r="D12" s="22"/>
      <c r="E12" s="19" t="s">
        <v>172</v>
      </c>
      <c r="F12" s="20"/>
      <c r="G12" s="20"/>
      <c r="H12" s="21"/>
    </row>
    <row r="13" customFormat="false" ht="21" hidden="false" customHeight="true" outlineLevel="0" collapsed="false">
      <c r="A13" s="17" t="n">
        <f aca="false">IF(C13="","",COUNTA(C$11:C13))</f>
        <v>3</v>
      </c>
      <c r="B13" s="17" t="s">
        <v>170</v>
      </c>
      <c r="C13" s="5" t="s">
        <v>174</v>
      </c>
      <c r="D13" s="23"/>
      <c r="E13" s="19" t="s">
        <v>175</v>
      </c>
      <c r="F13" s="20"/>
      <c r="G13" s="20"/>
      <c r="H13" s="21"/>
    </row>
    <row r="14" customFormat="false" ht="21" hidden="false" customHeight="true" outlineLevel="0" collapsed="false">
      <c r="A14" s="17" t="n">
        <f aca="false">IF(C14="","",COUNTA(C$11:C14))</f>
        <v>4</v>
      </c>
      <c r="B14" s="17" t="s">
        <v>170</v>
      </c>
      <c r="C14" s="5" t="s">
        <v>176</v>
      </c>
      <c r="D14" s="23" t="n">
        <v>4</v>
      </c>
      <c r="E14" s="19" t="s">
        <v>177</v>
      </c>
      <c r="F14" s="20"/>
      <c r="G14" s="20"/>
      <c r="H14" s="21"/>
    </row>
    <row r="15" customFormat="false" ht="36" hidden="false" customHeight="true" outlineLevel="0" collapsed="false">
      <c r="A15" s="17" t="n">
        <f aca="false">IF(C15="","",COUNTA(C$11:C15))</f>
        <v>5</v>
      </c>
      <c r="B15" s="17" t="s">
        <v>170</v>
      </c>
      <c r="C15" s="6" t="s">
        <v>178</v>
      </c>
      <c r="D15" s="24" t="str">
        <f aca="false">IF(OR($D$12="",$D$13="",$D$14=""),"",$D$12/$D$13/$D$14)</f>
        <v/>
      </c>
      <c r="E15" s="19" t="s">
        <v>73</v>
      </c>
      <c r="F15" s="20"/>
      <c r="G15" s="20"/>
      <c r="H15" s="21"/>
    </row>
    <row r="16" customFormat="false" ht="21" hidden="false" customHeight="true" outlineLevel="0" collapsed="false">
      <c r="A16" s="17" t="n">
        <f aca="false">IF(C16="","",COUNTA(C$11:C16))</f>
        <v>6</v>
      </c>
      <c r="B16" s="17" t="s">
        <v>170</v>
      </c>
      <c r="C16" s="5" t="s">
        <v>179</v>
      </c>
      <c r="D16" s="25"/>
      <c r="E16" s="26" t="s">
        <v>180</v>
      </c>
      <c r="F16" s="20"/>
      <c r="G16" s="20"/>
      <c r="H16" s="21"/>
    </row>
    <row r="17" customFormat="false" ht="21" hidden="false" customHeight="true" outlineLevel="0" collapsed="false">
      <c r="A17" s="17" t="n">
        <f aca="false">IF(C17="","",COUNTA(C$11:C17))</f>
        <v>7</v>
      </c>
      <c r="B17" s="17" t="s">
        <v>170</v>
      </c>
      <c r="C17" s="6" t="s">
        <v>181</v>
      </c>
      <c r="D17" s="25"/>
      <c r="E17" s="19" t="s">
        <v>182</v>
      </c>
      <c r="F17" s="20"/>
      <c r="G17" s="20"/>
      <c r="H17" s="21"/>
    </row>
    <row r="18" customFormat="false" ht="21" hidden="false" customHeight="true" outlineLevel="0" collapsed="false">
      <c r="A18" s="17" t="n">
        <f aca="false">IF(C18="","",COUNTA(C$11:C18))</f>
        <v>8</v>
      </c>
      <c r="B18" s="17" t="s">
        <v>170</v>
      </c>
      <c r="C18" s="5" t="s">
        <v>183</v>
      </c>
      <c r="D18" s="23" t="n">
        <v>90</v>
      </c>
      <c r="E18" s="19" t="s">
        <v>184</v>
      </c>
      <c r="F18" s="20"/>
      <c r="G18" s="20"/>
      <c r="H18" s="21"/>
    </row>
    <row r="20" customFormat="false" ht="21" hidden="false" customHeight="true" outlineLevel="0" collapsed="false">
      <c r="A20" s="3" t="s">
        <v>185</v>
      </c>
      <c r="B20" s="3"/>
      <c r="C20" s="3"/>
      <c r="D20" s="3"/>
      <c r="E20" s="3"/>
      <c r="F20" s="3"/>
      <c r="G20" s="3"/>
      <c r="H20" s="3"/>
    </row>
    <row r="21" customFormat="false" ht="18.75" hidden="false" customHeight="true" outlineLevel="0" collapsed="false">
      <c r="A21" s="15" t="s">
        <v>166</v>
      </c>
      <c r="B21" s="4" t="s">
        <v>143</v>
      </c>
      <c r="C21" s="4" t="s">
        <v>114</v>
      </c>
      <c r="D21" s="4" t="s">
        <v>167</v>
      </c>
      <c r="E21" s="4" t="s">
        <v>168</v>
      </c>
      <c r="F21" s="4" t="s">
        <v>55</v>
      </c>
      <c r="G21" s="4" t="s">
        <v>169</v>
      </c>
      <c r="H21" s="4" t="s">
        <v>5</v>
      </c>
    </row>
    <row r="22" customFormat="false" ht="21" hidden="false" customHeight="true" outlineLevel="0" collapsed="false">
      <c r="A22" s="17" t="n">
        <f aca="false">IF(C22="","",COUNTA(C$22:C22))</f>
        <v>1</v>
      </c>
      <c r="B22" s="17" t="s">
        <v>186</v>
      </c>
      <c r="C22" s="5" t="s">
        <v>187</v>
      </c>
      <c r="D22" s="25"/>
      <c r="E22" s="26" t="s">
        <v>188</v>
      </c>
      <c r="F22" s="20"/>
      <c r="G22" s="20"/>
      <c r="H22" s="21"/>
    </row>
    <row r="23" customFormat="false" ht="21" hidden="false" customHeight="true" outlineLevel="0" collapsed="false">
      <c r="A23" s="17" t="n">
        <f aca="false">IF(C23="","",COUNTA(C$22:C23))</f>
        <v>2</v>
      </c>
      <c r="B23" s="17" t="s">
        <v>186</v>
      </c>
      <c r="C23" s="5" t="s">
        <v>189</v>
      </c>
      <c r="D23" s="25"/>
      <c r="E23" s="26" t="s">
        <v>188</v>
      </c>
      <c r="F23" s="20"/>
      <c r="G23" s="20"/>
      <c r="H23" s="21"/>
    </row>
    <row r="24" customFormat="false" ht="21" hidden="false" customHeight="true" outlineLevel="0" collapsed="false">
      <c r="A24" s="17" t="n">
        <f aca="false">IF(C24="","",COUNTA(C$22:C24))</f>
        <v>3</v>
      </c>
      <c r="B24" s="17" t="s">
        <v>186</v>
      </c>
      <c r="C24" s="5" t="s">
        <v>190</v>
      </c>
      <c r="D24" s="25"/>
      <c r="E24" s="26" t="s">
        <v>188</v>
      </c>
      <c r="F24" s="20"/>
      <c r="G24" s="20"/>
      <c r="H24" s="21"/>
    </row>
    <row r="25" customFormat="false" ht="21" hidden="false" customHeight="true" outlineLevel="0" collapsed="false">
      <c r="A25" s="17" t="n">
        <f aca="false">IF(C25="","",COUNTA(C$22:C25))</f>
        <v>4</v>
      </c>
      <c r="B25" s="17" t="s">
        <v>186</v>
      </c>
      <c r="C25" s="5" t="s">
        <v>191</v>
      </c>
      <c r="D25" s="23" t="n">
        <v>1</v>
      </c>
      <c r="E25" s="19" t="s">
        <v>175</v>
      </c>
      <c r="F25" s="20"/>
      <c r="G25" s="20"/>
      <c r="H25" s="21"/>
    </row>
    <row r="26" customFormat="false" ht="36" hidden="false" customHeight="true" outlineLevel="0" collapsed="false">
      <c r="A26" s="17" t="n">
        <f aca="false">IF(C26="","",COUNTA(C$22:C26))</f>
        <v>5</v>
      </c>
      <c r="B26" s="17" t="s">
        <v>186</v>
      </c>
      <c r="C26" s="5" t="s">
        <v>192</v>
      </c>
      <c r="D26" s="24" t="str">
        <f aca="false">IF(COUNT($D$22,$D$23,$D$24,$D$25)&lt;4,"",$D$22*$D$23*$D$24*$D$25)</f>
        <v/>
      </c>
      <c r="E26" s="19" t="s">
        <v>193</v>
      </c>
      <c r="F26" s="20"/>
      <c r="G26" s="20"/>
      <c r="H26" s="21"/>
    </row>
    <row r="27" customFormat="false" ht="36" hidden="false" customHeight="true" outlineLevel="0" collapsed="false">
      <c r="A27" s="17" t="n">
        <f aca="false">IF(C27="","",COUNTA(C$22:C27))</f>
        <v>6</v>
      </c>
      <c r="B27" s="17" t="s">
        <v>186</v>
      </c>
      <c r="C27" s="5" t="s">
        <v>194</v>
      </c>
      <c r="D27" s="27" t="str">
        <f aca="false">IF(OR($D$26="",$D$12=""),"",$D$26/($D$12/24))</f>
        <v/>
      </c>
      <c r="E27" s="26" t="s">
        <v>180</v>
      </c>
      <c r="F27" s="28"/>
      <c r="G27" s="12"/>
      <c r="H27" s="12"/>
      <c r="I27" s="14" t="str">
        <f aca="false">IF(OR(F27="부적합",F27="검토"),MAX(I$1:I26)+1,"")</f>
        <v/>
      </c>
      <c r="J27" s="14" t="str">
        <f aca="false">LEFT(C27,FIND("|",SUBSTITUTE(C27," (","|")&amp;"|")-1)&amp;IF(OR(D27="",G27=""),IF(D27&lt;&gt;"",": "&amp;IF(D27="","",D27&amp;IF(ISNUMBER(D27),IF(E27="",""," "&amp;E27),"")),IF(G27&lt;&gt;"",": "&amp;G27,"")),": "&amp;IF(D27="","",D27&amp;IF(ISNUMBER(D27),IF(E27="",""," "&amp;E27),""))&amp;" / "&amp;G27)</f>
        <v>유량조정조 체류시간 적정성 검토</v>
      </c>
      <c r="K27" s="14" t="n">
        <f aca="false">IF(C27&lt;&gt;"",1,0)</f>
        <v>1</v>
      </c>
    </row>
    <row r="28" customFormat="false" ht="30" hidden="false" customHeight="true" outlineLevel="0" collapsed="false">
      <c r="A28" s="17" t="n">
        <f aca="false">IF(C28="","",COUNTA(C$22:C28))</f>
        <v>7</v>
      </c>
      <c r="B28" s="17" t="s">
        <v>186</v>
      </c>
      <c r="C28" s="5" t="s">
        <v>195</v>
      </c>
      <c r="D28" s="12"/>
      <c r="E28" s="12"/>
      <c r="F28" s="28"/>
      <c r="G28" s="12"/>
      <c r="H28" s="12"/>
      <c r="I28" s="14" t="str">
        <f aca="false">IF(OR(F28="부적합",F28="검토"),MAX(I$1:I27)+1,"")</f>
        <v/>
      </c>
      <c r="J28" s="14" t="str">
        <f aca="false">LEFT(C28,FIND("|",SUBSTITUTE(C28," (","|")&amp;"|")-1)&amp;IF(OR(D28="",G28=""),IF(D28&lt;&gt;"",": "&amp;IF(D28="","",D28&amp;IF(ISNUMBER(D28),IF(E28="",""," "&amp;E28),"")),IF(G28&lt;&gt;"",": "&amp;G28,"")),": "&amp;IF(D28="","",D28&amp;IF(ISNUMBER(D28),IF(E28="",""," "&amp;E28),""))&amp;" / "&amp;G28)</f>
        <v>유량조정조 운전 수위 및 유효수심 검토</v>
      </c>
      <c r="K28" s="14" t="n">
        <f aca="false">IF(C28&lt;&gt;"",1,0)</f>
        <v>1</v>
      </c>
    </row>
    <row r="29" customFormat="false" ht="21" hidden="false" customHeight="true" outlineLevel="0" collapsed="false">
      <c r="A29" s="17" t="n">
        <f aca="false">IF(C29="","",COUNTA(C$22:C29))</f>
        <v>8</v>
      </c>
      <c r="B29" s="17" t="s">
        <v>196</v>
      </c>
      <c r="C29" s="5" t="s">
        <v>197</v>
      </c>
      <c r="D29" s="23"/>
      <c r="E29" s="26" t="s">
        <v>198</v>
      </c>
      <c r="F29" s="20"/>
      <c r="G29" s="20"/>
      <c r="H29" s="21"/>
    </row>
    <row r="30" customFormat="false" ht="21" hidden="false" customHeight="true" outlineLevel="0" collapsed="false">
      <c r="A30" s="17" t="n">
        <f aca="false">IF(C30="","",COUNTA(C$22:C30))</f>
        <v>9</v>
      </c>
      <c r="B30" s="17" t="s">
        <v>196</v>
      </c>
      <c r="C30" s="5" t="s">
        <v>199</v>
      </c>
      <c r="D30" s="29"/>
      <c r="E30" s="19" t="s">
        <v>200</v>
      </c>
      <c r="F30" s="20"/>
      <c r="G30" s="20"/>
      <c r="H30" s="21"/>
    </row>
    <row r="31" customFormat="false" ht="21" hidden="false" customHeight="true" outlineLevel="0" collapsed="false">
      <c r="A31" s="17" t="n">
        <f aca="false">IF(C31="","",COUNTA(C$22:C31))</f>
        <v>10</v>
      </c>
      <c r="B31" s="17" t="s">
        <v>196</v>
      </c>
      <c r="C31" s="5" t="s">
        <v>201</v>
      </c>
      <c r="D31" s="25"/>
      <c r="E31" s="26" t="s">
        <v>202</v>
      </c>
      <c r="F31" s="20"/>
      <c r="G31" s="20"/>
      <c r="H31" s="21"/>
    </row>
    <row r="32" customFormat="false" ht="36" hidden="false" customHeight="true" outlineLevel="0" collapsed="false">
      <c r="A32" s="17" t="n">
        <f aca="false">IF(C32="","",COUNTA(C$22:C32))</f>
        <v>11</v>
      </c>
      <c r="B32" s="17" t="s">
        <v>196</v>
      </c>
      <c r="C32" s="5" t="s">
        <v>203</v>
      </c>
      <c r="D32" s="30" t="str">
        <f aca="false">IF(OR($D$30="",$D$30=0,$D$15=""),"",$D$15/$D$30)</f>
        <v/>
      </c>
      <c r="E32" s="19" t="s">
        <v>184</v>
      </c>
      <c r="F32" s="31" t="str">
        <f aca="false">IF(D32="","",IF(D32&lt;=$D$18,"확인","부적합"))</f>
        <v/>
      </c>
      <c r="G32" s="32" t="str">
        <f aca="false">IF(D32="","","기준 "&amp;$D$18&amp;"분 "&amp;IF(D32&lt;=$D$18,"이내","초과"))</f>
        <v/>
      </c>
      <c r="H32" s="12"/>
      <c r="I32" s="14" t="str">
        <f aca="false">IF(OR(F32="부적합",F32="검토"),MAX(I$1:I31)+1,"")</f>
        <v/>
      </c>
      <c r="J32" s="14" t="str">
        <f aca="false">LEFT(C32,FIND("|",SUBSTITUTE(C32," (","|")&amp;"|")-1)&amp;IF(OR(D32="",G32=""),IF(D32&lt;&gt;"",": "&amp;IF(D32="","",D32&amp;IF(ISNUMBER(D32),IF(E32="",""," "&amp;E32),"")),IF(G32&lt;&gt;"",": "&amp;G32,"")),": "&amp;IF(D32="","",D32&amp;IF(ISNUMBER(D32),IF(E32="",""," "&amp;E32),""))&amp;" / "&amp;G32)</f>
        <v>공급펌프 사이클당 유입시간 검토</v>
      </c>
      <c r="K32" s="14" t="n">
        <f aca="false">IF(C32&lt;&gt;"",1,0)</f>
        <v>1</v>
      </c>
    </row>
    <row r="33" customFormat="false" ht="30" hidden="false" customHeight="true" outlineLevel="0" collapsed="false">
      <c r="A33" s="17" t="n">
        <f aca="false">IF(C33="","",COUNTA(C$22:C33))</f>
        <v>12</v>
      </c>
      <c r="B33" s="17" t="s">
        <v>196</v>
      </c>
      <c r="C33" s="5" t="s">
        <v>204</v>
      </c>
      <c r="D33" s="12"/>
      <c r="E33" s="12"/>
      <c r="F33" s="28"/>
      <c r="G33" s="12"/>
      <c r="H33" s="12"/>
      <c r="I33" s="14" t="str">
        <f aca="false">IF(OR(F33="부적합",F33="검토"),MAX(I$1:I32)+1,"")</f>
        <v/>
      </c>
      <c r="J33" s="14" t="str">
        <f aca="false">LEFT(C33,FIND("|",SUBSTITUTE(C33," (","|")&amp;"|")-1)&amp;IF(OR(D33="",G33=""),IF(D33&lt;&gt;"",": "&amp;IF(D33="","",D33&amp;IF(ISNUMBER(D33),IF(E33="",""," "&amp;E33),"")),IF(G33&lt;&gt;"",": "&amp;G33,"")),": "&amp;IF(D33="","",D33&amp;IF(ISNUMBER(D33),IF(E33="",""," "&amp;E33),""))&amp;" / "&amp;G33)</f>
        <v>유입 배관 규격 및 밸브 검토</v>
      </c>
      <c r="K33" s="14" t="n">
        <f aca="false">IF(C33&lt;&gt;"",1,0)</f>
        <v>1</v>
      </c>
    </row>
    <row r="35" customFormat="false" ht="21" hidden="false" customHeight="true" outlineLevel="0" collapsed="false">
      <c r="A35" s="3" t="s">
        <v>205</v>
      </c>
      <c r="B35" s="3"/>
      <c r="C35" s="3"/>
      <c r="D35" s="3"/>
      <c r="E35" s="3"/>
      <c r="F35" s="3"/>
      <c r="G35" s="3"/>
      <c r="H35" s="3"/>
    </row>
    <row r="36" customFormat="false" ht="18.75" hidden="false" customHeight="true" outlineLevel="0" collapsed="false">
      <c r="A36" s="15" t="s">
        <v>166</v>
      </c>
      <c r="B36" s="4" t="s">
        <v>143</v>
      </c>
      <c r="C36" s="4" t="s">
        <v>114</v>
      </c>
      <c r="D36" s="4" t="s">
        <v>167</v>
      </c>
      <c r="E36" s="4" t="s">
        <v>168</v>
      </c>
      <c r="F36" s="4" t="s">
        <v>55</v>
      </c>
      <c r="G36" s="4" t="s">
        <v>169</v>
      </c>
      <c r="H36" s="4" t="s">
        <v>5</v>
      </c>
    </row>
    <row r="37" customFormat="false" ht="21" hidden="false" customHeight="true" outlineLevel="0" collapsed="false">
      <c r="A37" s="17" t="n">
        <f aca="false">IF(C37="","",COUNTA(C$37:C37))</f>
        <v>1</v>
      </c>
      <c r="B37" s="17" t="s">
        <v>186</v>
      </c>
      <c r="C37" s="5" t="s">
        <v>206</v>
      </c>
      <c r="D37" s="25"/>
      <c r="E37" s="26" t="s">
        <v>188</v>
      </c>
      <c r="F37" s="20"/>
      <c r="G37" s="20"/>
      <c r="H37" s="21"/>
    </row>
    <row r="38" customFormat="false" ht="21" hidden="false" customHeight="true" outlineLevel="0" collapsed="false">
      <c r="A38" s="17" t="n">
        <f aca="false">IF(C38="","",COUNTA(C$37:C38))</f>
        <v>2</v>
      </c>
      <c r="B38" s="17" t="s">
        <v>186</v>
      </c>
      <c r="C38" s="5" t="s">
        <v>207</v>
      </c>
      <c r="D38" s="25"/>
      <c r="E38" s="26" t="s">
        <v>188</v>
      </c>
      <c r="F38" s="20"/>
      <c r="G38" s="20"/>
      <c r="H38" s="21"/>
    </row>
    <row r="39" customFormat="false" ht="21" hidden="false" customHeight="true" outlineLevel="0" collapsed="false">
      <c r="A39" s="17" t="n">
        <f aca="false">IF(C39="","",COUNTA(C$37:C39))</f>
        <v>3</v>
      </c>
      <c r="B39" s="17" t="s">
        <v>186</v>
      </c>
      <c r="C39" s="5" t="s">
        <v>208</v>
      </c>
      <c r="D39" s="29"/>
      <c r="E39" s="26" t="s">
        <v>188</v>
      </c>
      <c r="F39" s="20"/>
      <c r="G39" s="20"/>
      <c r="H39" s="21"/>
    </row>
    <row r="40" customFormat="false" ht="21" hidden="false" customHeight="true" outlineLevel="0" collapsed="false">
      <c r="A40" s="17" t="n">
        <f aca="false">IF(C40="","",COUNTA(C$37:C40))</f>
        <v>4</v>
      </c>
      <c r="B40" s="17" t="s">
        <v>186</v>
      </c>
      <c r="C40" s="5" t="s">
        <v>209</v>
      </c>
      <c r="D40" s="29"/>
      <c r="E40" s="26" t="s">
        <v>188</v>
      </c>
      <c r="F40" s="20"/>
      <c r="G40" s="20"/>
      <c r="H40" s="21"/>
    </row>
    <row r="41" customFormat="false" ht="21" hidden="false" customHeight="true" outlineLevel="0" collapsed="false">
      <c r="A41" s="17" t="n">
        <f aca="false">IF(C41="","",COUNTA(C$37:C41))</f>
        <v>5</v>
      </c>
      <c r="B41" s="17" t="s">
        <v>186</v>
      </c>
      <c r="C41" s="5" t="s">
        <v>210</v>
      </c>
      <c r="D41" s="29"/>
      <c r="E41" s="26" t="s">
        <v>188</v>
      </c>
      <c r="F41" s="28"/>
      <c r="G41" s="12"/>
      <c r="H41" s="12"/>
      <c r="I41" s="14" t="str">
        <f aca="false">IF(OR(F41="부적합",F41="검토"),MAX(I$1:I40)+1,"")</f>
        <v/>
      </c>
      <c r="J41" s="14" t="str">
        <f aca="false">LEFT(C41,FIND("|",SUBSTITUTE(C41," (","|")&amp;"|")-1)&amp;IF(OR(D41="",G41=""),IF(D41&lt;&gt;"",": "&amp;IF(D41="","",D41&amp;IF(ISNUMBER(D41),IF(E41="",""," "&amp;E41),"")),IF(G41&lt;&gt;"",": "&amp;G41,"")),": "&amp;IF(D41="","",D41&amp;IF(ISNUMBER(D41),IF(E41="",""," "&amp;E41),""))&amp;" / "&amp;G41)</f>
        <v>여유고</v>
      </c>
      <c r="K41" s="14" t="n">
        <f aca="false">IF(C41&lt;&gt;"",1,0)</f>
        <v>1</v>
      </c>
    </row>
    <row r="42" customFormat="false" ht="36" hidden="false" customHeight="true" outlineLevel="0" collapsed="false">
      <c r="A42" s="17" t="n">
        <f aca="false">IF(C42="","",COUNTA(C$37:C42))</f>
        <v>6</v>
      </c>
      <c r="B42" s="17" t="s">
        <v>186</v>
      </c>
      <c r="C42" s="5" t="s">
        <v>211</v>
      </c>
      <c r="D42" s="24" t="str">
        <f aca="false">IF(OR($D$37="",$D$38="",$D$40=""),"",$D$37*$D$38*$D$40)</f>
        <v/>
      </c>
      <c r="E42" s="19" t="s">
        <v>193</v>
      </c>
      <c r="F42" s="28"/>
      <c r="G42" s="32" t="str">
        <f aca="false">IF(OR($D$39="",$D$40=""),"","배출수위(He) "&amp;TEXT($D$40-$D$39,"0.00")&amp;"m")</f>
        <v/>
      </c>
      <c r="H42" s="12"/>
      <c r="I42" s="14" t="str">
        <f aca="false">IF(OR(F42="부적합",F42="검토"),MAX(I$1:I41)+1,"")</f>
        <v/>
      </c>
      <c r="J42" s="14" t="str">
        <f aca="false">LEFT(C42,FIND("|",SUBSTITUTE(C42," (","|")&amp;"|")-1)&amp;IF(OR(D42="",G42=""),IF(D42&lt;&gt;"",": "&amp;IF(D42="","",D42&amp;IF(ISNUMBER(D42),IF(E42="",""," "&amp;E42),"")),IF(G42&lt;&gt;"",": "&amp;G42,"")),": "&amp;IF(D42="","",D42&amp;IF(ISNUMBER(D42),IF(E42="",""," "&amp;E42),""))&amp;" / "&amp;G42)</f>
        <v>생물반응조 유효용량 및 운전수위 검토</v>
      </c>
      <c r="K42" s="14" t="n">
        <f aca="false">IF(C42&lt;&gt;"",1,0)</f>
        <v>1</v>
      </c>
    </row>
    <row r="43" customFormat="false" ht="36" hidden="false" customHeight="true" outlineLevel="0" collapsed="false">
      <c r="A43" s="17" t="n">
        <f aca="false">IF(C43="","",COUNTA(C$37:C43))</f>
        <v>7</v>
      </c>
      <c r="B43" s="17" t="s">
        <v>186</v>
      </c>
      <c r="C43" s="5" t="s">
        <v>212</v>
      </c>
      <c r="D43" s="27" t="str">
        <f aca="false">IF(OR($D$42="",$D$12="",$D$13=""),"",$D$42*$D$13/($D$12/24))</f>
        <v/>
      </c>
      <c r="E43" s="26" t="s">
        <v>180</v>
      </c>
      <c r="F43" s="20"/>
      <c r="G43" s="32" t="str">
        <f aca="false">IF(OR(D43="",$D$16=""),"","목표 HRT "&amp;TEXT($D$16,"0.0")&amp;"hr 대비 "&amp;TEXT(D43/$D$16-1,"+0.0%;-0.0%;0.0%"))</f>
        <v/>
      </c>
      <c r="H43" s="21"/>
    </row>
    <row r="44" customFormat="false" ht="36" hidden="false" customHeight="true" outlineLevel="0" collapsed="false">
      <c r="A44" s="17" t="n">
        <f aca="false">IF(C44="","",COUNTA(C$37:C44))</f>
        <v>8</v>
      </c>
      <c r="B44" s="17" t="s">
        <v>186</v>
      </c>
      <c r="C44" s="6" t="s">
        <v>213</v>
      </c>
      <c r="D44" s="12"/>
      <c r="E44" s="12"/>
      <c r="F44" s="28"/>
      <c r="G44" s="12"/>
      <c r="H44" s="12"/>
      <c r="I44" s="14" t="str">
        <f aca="false">IF(OR(F44="부적합",F44="검토"),MAX(I$1:I43)+1,"")</f>
        <v/>
      </c>
      <c r="J44" s="14" t="str">
        <f aca="false">LEFT(C44,FIND("|",SUBSTITUTE(C44," (","|")&amp;"|")-1)&amp;IF(OR(D44="",G44=""),IF(D44&lt;&gt;"",": "&amp;IF(D44="","",D44&amp;IF(ISNUMBER(D44),IF(E44="",""," "&amp;E44),"")),IF(G44&lt;&gt;"",": "&amp;G44,"")),": "&amp;IF(D44="","",D44&amp;IF(ISNUMBER(D44),IF(E44="",""," "&amp;E44),""))&amp;" / "&amp;G44)</f>
        <v>(+)구조물 규격 · 적정성 및 scope 검토</v>
      </c>
      <c r="K44" s="14" t="n">
        <f aca="false">IF(C44&lt;&gt;"",1,0)</f>
        <v>1</v>
      </c>
    </row>
    <row r="45" customFormat="false" ht="36" hidden="false" customHeight="true" outlineLevel="0" collapsed="false">
      <c r="A45" s="17" t="n">
        <f aca="false">IF(C45="","",COUNTA(C$37:C45))</f>
        <v>9</v>
      </c>
      <c r="B45" s="17" t="s">
        <v>186</v>
      </c>
      <c r="C45" s="5" t="s">
        <v>214</v>
      </c>
      <c r="D45" s="12"/>
      <c r="E45" s="12"/>
      <c r="F45" s="28"/>
      <c r="G45" s="12"/>
      <c r="H45" s="12"/>
      <c r="I45" s="14" t="str">
        <f aca="false">IF(OR(F45="부적합",F45="검토"),MAX(I$1:I44)+1,"")</f>
        <v/>
      </c>
      <c r="J45" s="14" t="str">
        <f aca="false">LEFT(C45,FIND("|",SUBSTITUTE(C45," (","|")&amp;"|")-1)&amp;IF(OR(D45="",G45=""),IF(D45&lt;&gt;"",": "&amp;IF(D45="","",D45&amp;IF(ISNUMBER(D45),IF(E45="",""," "&amp;E45),"")),IF(G45&lt;&gt;"",": "&amp;G45,"")),": "&amp;IF(D45="","",D45&amp;IF(ISNUMBER(D45),IF(E45="",""," "&amp;E45),""))&amp;" / "&amp;G45)</f>
        <v>포기장치 설치 위치 및 간섭 검토</v>
      </c>
      <c r="K45" s="14" t="n">
        <f aca="false">IF(C45&lt;&gt;"",1,0)</f>
        <v>1</v>
      </c>
    </row>
    <row r="46" customFormat="false" ht="30" hidden="false" customHeight="true" outlineLevel="0" collapsed="false">
      <c r="A46" s="17" t="n">
        <f aca="false">IF(C46="","",COUNTA(C$37:C46))</f>
        <v>10</v>
      </c>
      <c r="B46" s="17" t="s">
        <v>186</v>
      </c>
      <c r="C46" s="5" t="s">
        <v>215</v>
      </c>
      <c r="D46" s="12"/>
      <c r="E46" s="12"/>
      <c r="F46" s="28"/>
      <c r="G46" s="12"/>
      <c r="H46" s="12"/>
      <c r="I46" s="14" t="str">
        <f aca="false">IF(OR(F46="부적합",F46="검토"),MAX(I$1:I45)+1,"")</f>
        <v/>
      </c>
      <c r="J46" s="14" t="str">
        <f aca="false">LEFT(C46,FIND("|",SUBSTITUTE(C46," (","|")&amp;"|")-1)&amp;IF(OR(D46="",G46=""),IF(D46&lt;&gt;"",": "&amp;IF(D46="","",D46&amp;IF(ISNUMBER(D46),IF(E46="",""," "&amp;E46),"")),IF(G46&lt;&gt;"",": "&amp;G46,"")),": "&amp;IF(D46="","",D46&amp;IF(ISNUMBER(D46),IF(E46="",""," "&amp;E46),""))&amp;" / "&amp;G46)</f>
        <v>반응조 덮개 유무 · 형식 및 점검구 검토</v>
      </c>
      <c r="K46" s="14" t="n">
        <f aca="false">IF(C46&lt;&gt;"",1,0)</f>
        <v>1</v>
      </c>
    </row>
    <row r="47" customFormat="false" ht="30" hidden="false" customHeight="true" outlineLevel="0" collapsed="false">
      <c r="A47" s="17" t="n">
        <f aca="false">IF(C47="","",COUNTA(C$37:C47))</f>
        <v>11</v>
      </c>
      <c r="B47" s="17" t="s">
        <v>186</v>
      </c>
      <c r="C47" s="5" t="s">
        <v>216</v>
      </c>
      <c r="D47" s="12"/>
      <c r="E47" s="12"/>
      <c r="F47" s="28"/>
      <c r="G47" s="12"/>
      <c r="H47" s="12"/>
      <c r="I47" s="14" t="str">
        <f aca="false">IF(OR(F47="부적합",F47="검토"),MAX(I$1:I46)+1,"")</f>
        <v/>
      </c>
      <c r="J47" s="14" t="str">
        <f aca="false">LEFT(C47,FIND("|",SUBSTITUTE(C47," (","|")&amp;"|")-1)&amp;IF(OR(D47="",G47=""),IF(D47&lt;&gt;"",": "&amp;IF(D47="","",D47&amp;IF(ISNUMBER(D47),IF(E47="",""," "&amp;E47),"")),IF(G47&lt;&gt;"",": "&amp;G47,"")),": "&amp;IF(D47="","",D47&amp;IF(ISNUMBER(D47),IF(E47="",""," "&amp;E47),""))&amp;" / "&amp;G47)</f>
        <v>배출장치 슬리브 위치 검토</v>
      </c>
      <c r="K47" s="14" t="n">
        <f aca="false">IF(C47&lt;&gt;"",1,0)</f>
        <v>1</v>
      </c>
    </row>
    <row r="48" customFormat="false" ht="30" hidden="false" customHeight="true" outlineLevel="0" collapsed="false">
      <c r="A48" s="17" t="n">
        <f aca="false">IF(C48="","",COUNTA(C$37:C48))</f>
        <v>12</v>
      </c>
      <c r="B48" s="17" t="s">
        <v>186</v>
      </c>
      <c r="C48" s="5" t="s">
        <v>217</v>
      </c>
      <c r="D48" s="12"/>
      <c r="E48" s="12"/>
      <c r="F48" s="28"/>
      <c r="G48" s="12"/>
      <c r="H48" s="12"/>
      <c r="I48" s="14" t="str">
        <f aca="false">IF(OR(F48="부적합",F48="검토"),MAX(I$1:I47)+1,"")</f>
        <v/>
      </c>
      <c r="J48" s="14" t="str">
        <f aca="false">LEFT(C48,FIND("|",SUBSTITUTE(C48," (","|")&amp;"|")-1)&amp;IF(OR(D48="",G48=""),IF(D48&lt;&gt;"",": "&amp;IF(D48="","",D48&amp;IF(ISNUMBER(D48),IF(E48="",""," "&amp;E48),"")),IF(G48&lt;&gt;"",": "&amp;G48,"")),": "&amp;IF(D48="","",D48&amp;IF(ISNUMBER(D48),IF(E48="",""," "&amp;E48),""))&amp;" / "&amp;G48)</f>
        <v>배출장치 슬리브 scope</v>
      </c>
      <c r="K48" s="14" t="n">
        <f aca="false">IF(C48&lt;&gt;"",1,0)</f>
        <v>1</v>
      </c>
    </row>
    <row r="49" customFormat="false" ht="21" hidden="false" customHeight="true" outlineLevel="0" collapsed="false">
      <c r="A49" s="17" t="n">
        <f aca="false">IF(C49="","",COUNTA(C$37:C49))</f>
        <v>13</v>
      </c>
      <c r="B49" s="17" t="s">
        <v>196</v>
      </c>
      <c r="C49" s="5" t="s">
        <v>218</v>
      </c>
      <c r="D49" s="18"/>
      <c r="E49" s="26" t="s">
        <v>219</v>
      </c>
      <c r="F49" s="28"/>
      <c r="G49" s="12"/>
      <c r="H49" s="12"/>
      <c r="I49" s="14" t="str">
        <f aca="false">IF(OR(F49="부적합",F49="검토"),MAX(I$1:I48)+1,"")</f>
        <v/>
      </c>
      <c r="J49" s="14" t="str">
        <f aca="false">LEFT(C49,FIND("|",SUBSTITUTE(C49," (","|")&amp;"|")-1)&amp;IF(OR(D49="",G49=""),IF(D49&lt;&gt;"",": "&amp;IF(D49="","",D49&amp;IF(ISNUMBER(D49),IF(E49="",""," "&amp;E49),"")),IF(G49&lt;&gt;"",": "&amp;G49,"")),": "&amp;IF(D49="","",D49&amp;IF(ISNUMBER(D49),IF(E49="",""," "&amp;E49),""))&amp;" / "&amp;G49)</f>
        <v>포기장치(터빈) 규격 Ø 적정 여부 검토</v>
      </c>
      <c r="K49" s="14" t="n">
        <f aca="false">IF(C49&lt;&gt;"",1,0)</f>
        <v>1</v>
      </c>
    </row>
    <row r="50" customFormat="false" ht="21" hidden="false" customHeight="true" outlineLevel="0" collapsed="false">
      <c r="A50" s="17" t="n">
        <f aca="false">IF(C50="","",COUNTA(C$37:C50))</f>
        <v>14</v>
      </c>
      <c r="B50" s="17" t="s">
        <v>196</v>
      </c>
      <c r="C50" s="5" t="s">
        <v>220</v>
      </c>
      <c r="D50" s="22"/>
      <c r="E50" s="26" t="s">
        <v>221</v>
      </c>
      <c r="F50" s="20"/>
      <c r="G50" s="20"/>
      <c r="H50" s="21"/>
    </row>
    <row r="51" customFormat="false" ht="21" hidden="false" customHeight="true" outlineLevel="0" collapsed="false">
      <c r="A51" s="17" t="n">
        <f aca="false">IF(C51="","",COUNTA(C$37:C51))</f>
        <v>15</v>
      </c>
      <c r="B51" s="17" t="s">
        <v>196</v>
      </c>
      <c r="C51" s="5" t="s">
        <v>222</v>
      </c>
      <c r="D51" s="33"/>
      <c r="E51" s="26" t="s">
        <v>202</v>
      </c>
      <c r="F51" s="28"/>
      <c r="G51" s="12"/>
      <c r="H51" s="12"/>
      <c r="I51" s="14" t="str">
        <f aca="false">IF(OR(F51="부적합",F51="검토"),MAX(I$1:I50)+1,"")</f>
        <v/>
      </c>
      <c r="J51" s="14" t="str">
        <f aca="false">LEFT(C51,FIND("|",SUBSTITUTE(C51," (","|")&amp;"|")-1)&amp;IF(OR(D51="",G51=""),IF(D51&lt;&gt;"",": "&amp;IF(D51="","",D51&amp;IF(ISNUMBER(D51),IF(E51="",""," "&amp;E51),"")),IF(G51&lt;&gt;"",": "&amp;G51,"")),": "&amp;IF(D51="","",D51&amp;IF(ISNUMBER(D51),IF(E51="",""," "&amp;E51),""))&amp;" / "&amp;G51)</f>
        <v>기어드모터 동력</v>
      </c>
      <c r="K51" s="14" t="n">
        <f aca="false">IF(C51&lt;&gt;"",1,0)</f>
        <v>1</v>
      </c>
    </row>
    <row r="52" customFormat="false" ht="21" hidden="false" customHeight="true" outlineLevel="0" collapsed="false">
      <c r="A52" s="17" t="n">
        <f aca="false">IF(C52="","",COUNTA(C$37:C52))</f>
        <v>16</v>
      </c>
      <c r="B52" s="17" t="s">
        <v>196</v>
      </c>
      <c r="C52" s="5" t="s">
        <v>223</v>
      </c>
      <c r="D52" s="33"/>
      <c r="E52" s="26" t="s">
        <v>202</v>
      </c>
      <c r="F52" s="20"/>
      <c r="G52" s="20"/>
      <c r="H52" s="21"/>
    </row>
    <row r="53" customFormat="false" ht="21" hidden="false" customHeight="true" outlineLevel="0" collapsed="false">
      <c r="A53" s="17" t="n">
        <f aca="false">IF(C53="","",COUNTA(C$37:C53))</f>
        <v>17</v>
      </c>
      <c r="B53" s="17" t="s">
        <v>196</v>
      </c>
      <c r="C53" s="5" t="s">
        <v>224</v>
      </c>
      <c r="D53" s="8" t="str">
        <f aca="false">IF(OR($D$51="",$D$52=""),"",IF($D$51=$D$52,"일치","불일치"))</f>
        <v/>
      </c>
      <c r="E53" s="19"/>
      <c r="F53" s="31" t="str">
        <f aca="false">IF(D53="","",IF(D53="일치","확인","부적합"))</f>
        <v/>
      </c>
      <c r="G53" s="32" t="str">
        <f aca="false">IF(D53="","","시방서 "&amp;TEXT($D$52,"0.0#")&amp;"kW / 도면 "&amp;TEXT($D$51,"0.0#")&amp;"kW")</f>
        <v/>
      </c>
      <c r="H53" s="12"/>
      <c r="I53" s="14" t="str">
        <f aca="false">IF(OR(F53="부적합",F53="검토"),MAX(I$1:I52)+1,"")</f>
        <v/>
      </c>
      <c r="J53" s="14" t="str">
        <f aca="false">LEFT(C53,FIND("|",SUBSTITUTE(C53," (","|")&amp;"|")-1)&amp;IF(OR(D53="",G53=""),IF(D53&lt;&gt;"",": "&amp;IF(D53="","",D53&amp;IF(ISNUMBER(D53),IF(E53="",""," "&amp;E53),"")),IF(G53&lt;&gt;"",": "&amp;G53,"")),": "&amp;IF(D53="","",D53&amp;IF(ISNUMBER(D53),IF(E53="",""," "&amp;E53),""))&amp;" / "&amp;G53)</f>
        <v>도면 · 시방서 내 규격 및 동력 일치 검토</v>
      </c>
      <c r="K53" s="14" t="n">
        <f aca="false">IF(C53&lt;&gt;"",1,0)</f>
        <v>1</v>
      </c>
    </row>
    <row r="54" customFormat="false" ht="30" hidden="false" customHeight="true" outlineLevel="0" collapsed="false">
      <c r="A54" s="17" t="n">
        <f aca="false">IF(C54="","",COUNTA(C$37:C54))</f>
        <v>18</v>
      </c>
      <c r="B54" s="17" t="s">
        <v>196</v>
      </c>
      <c r="C54" s="5" t="s">
        <v>225</v>
      </c>
      <c r="D54" s="12"/>
      <c r="E54" s="12"/>
      <c r="F54" s="28"/>
      <c r="G54" s="12"/>
      <c r="H54" s="12"/>
      <c r="I54" s="14" t="str">
        <f aca="false">IF(OR(F54="부적합",F54="검토"),MAX(I$1:I53)+1,"")</f>
        <v/>
      </c>
      <c r="J54" s="14" t="str">
        <f aca="false">LEFT(C54,FIND("|",SUBSTITUTE(C54," (","|")&amp;"|")-1)&amp;IF(OR(D54="",G54=""),IF(D54&lt;&gt;"",": "&amp;IF(D54="","",D54&amp;IF(ISNUMBER(D54),IF(E54="",""," "&amp;E54),"")),IF(G54&lt;&gt;"",": "&amp;G54,"")),": "&amp;IF(D54="","",D54&amp;IF(ISNUMBER(D54),IF(E54="",""," "&amp;E54),""))&amp;" / "&amp;G54)</f>
        <v>기어드모터 모델 / 출력 RPM 적정 검토</v>
      </c>
      <c r="K54" s="14" t="n">
        <f aca="false">IF(C54&lt;&gt;"",1,0)</f>
        <v>1</v>
      </c>
    </row>
    <row r="55" customFormat="false" ht="30" hidden="false" customHeight="true" outlineLevel="0" collapsed="false">
      <c r="A55" s="17" t="n">
        <f aca="false">IF(C55="","",COUNTA(C$37:C55))</f>
        <v>19</v>
      </c>
      <c r="B55" s="17" t="s">
        <v>196</v>
      </c>
      <c r="C55" s="5" t="s">
        <v>226</v>
      </c>
      <c r="D55" s="12"/>
      <c r="E55" s="12"/>
      <c r="F55" s="28"/>
      <c r="G55" s="12"/>
      <c r="H55" s="12"/>
      <c r="I55" s="14" t="str">
        <f aca="false">IF(OR(F55="부적합",F55="검토"),MAX(I$1:I54)+1,"")</f>
        <v/>
      </c>
      <c r="J55" s="14" t="str">
        <f aca="false">LEFT(C55,FIND("|",SUBSTITUTE(C55," (","|")&amp;"|")-1)&amp;IF(OR(D55="",G55=""),IF(D55&lt;&gt;"",": "&amp;IF(D55="","",D55&amp;IF(ISNUMBER(D55),IF(E55="",""," "&amp;E55),"")),IF(G55&lt;&gt;"",": "&amp;G55,"")),": "&amp;IF(D55="","",D55&amp;IF(ISNUMBER(D55),IF(E55="",""," "&amp;E55),""))&amp;" / "&amp;G55)</f>
        <v>전동윈치 설치 시 간섭 검토</v>
      </c>
      <c r="K55" s="14" t="n">
        <f aca="false">IF(C55&lt;&gt;"",1,0)</f>
        <v>1</v>
      </c>
    </row>
    <row r="56" customFormat="false" ht="30" hidden="false" customHeight="true" outlineLevel="0" collapsed="false">
      <c r="A56" s="17" t="n">
        <f aca="false">IF(C56="","",COUNTA(C$37:C56))</f>
        <v>20</v>
      </c>
      <c r="B56" s="17" t="s">
        <v>196</v>
      </c>
      <c r="C56" s="5" t="s">
        <v>227</v>
      </c>
      <c r="D56" s="12"/>
      <c r="E56" s="12"/>
      <c r="F56" s="28"/>
      <c r="G56" s="12"/>
      <c r="H56" s="12"/>
      <c r="I56" s="14" t="str">
        <f aca="false">IF(OR(F56="부적합",F56="검토"),MAX(I$1:I55)+1,"")</f>
        <v/>
      </c>
      <c r="J56" s="14" t="str">
        <f aca="false">LEFT(C56,FIND("|",SUBSTITUTE(C56," (","|")&amp;"|")-1)&amp;IF(OR(D56="",G56=""),IF(D56&lt;&gt;"",": "&amp;IF(D56="","",D56&amp;IF(ISNUMBER(D56),IF(E56="",""," "&amp;E56),"")),IF(G56&lt;&gt;"",": "&amp;G56,"")),": "&amp;IF(D56="","",D56&amp;IF(ISNUMBER(D56),IF(E56="",""," "&amp;E56),""))&amp;" / "&amp;G56)</f>
        <v>반응조 상부 호이스트 유무</v>
      </c>
      <c r="K56" s="14" t="n">
        <f aca="false">IF(C56&lt;&gt;"",1,0)</f>
        <v>1</v>
      </c>
    </row>
    <row r="57" customFormat="false" ht="30" hidden="false" customHeight="true" outlineLevel="0" collapsed="false">
      <c r="A57" s="17" t="n">
        <f aca="false">IF(C57="","",COUNTA(C$37:C57))</f>
        <v>21</v>
      </c>
      <c r="B57" s="17" t="s">
        <v>196</v>
      </c>
      <c r="C57" s="5" t="s">
        <v>228</v>
      </c>
      <c r="D57" s="12"/>
      <c r="E57" s="12"/>
      <c r="F57" s="28"/>
      <c r="G57" s="12"/>
      <c r="H57" s="12"/>
      <c r="I57" s="14" t="str">
        <f aca="false">IF(OR(F57="부적합",F57="검토"),MAX(I$1:I56)+1,"")</f>
        <v/>
      </c>
      <c r="J57" s="14" t="str">
        <f aca="false">LEFT(C57,FIND("|",SUBSTITUTE(C57," (","|")&amp;"|")-1)&amp;IF(OR(D57="",G57=""),IF(D57&lt;&gt;"",": "&amp;IF(D57="","",D57&amp;IF(ISNUMBER(D57),IF(E57="",""," "&amp;E57),"")),IF(G57&lt;&gt;"",": "&amp;G57,"")),": "&amp;IF(D57="","",D57&amp;IF(ISNUMBER(D57),IF(E57="",""," "&amp;E57),""))&amp;" / "&amp;G57)</f>
        <v>포기장치 · 제어반 반입 및 양중 경로 확보 검토</v>
      </c>
      <c r="K57" s="14" t="n">
        <f aca="false">IF(C57&lt;&gt;"",1,0)</f>
        <v>1</v>
      </c>
    </row>
    <row r="58" customFormat="false" ht="21" hidden="false" customHeight="true" outlineLevel="0" collapsed="false">
      <c r="A58" s="17" t="n">
        <f aca="false">IF(C58="","",COUNTA(C$37:C58))</f>
        <v>22</v>
      </c>
      <c r="B58" s="17" t="s">
        <v>196</v>
      </c>
      <c r="C58" s="5" t="s">
        <v>229</v>
      </c>
      <c r="D58" s="25"/>
      <c r="E58" s="26" t="s">
        <v>230</v>
      </c>
      <c r="F58" s="20"/>
      <c r="G58" s="20"/>
      <c r="H58" s="21"/>
    </row>
    <row r="59" customFormat="false" ht="21" hidden="false" customHeight="true" outlineLevel="0" collapsed="false">
      <c r="A59" s="17" t="n">
        <f aca="false">IF(C59="","",COUNTA(C$37:C59))</f>
        <v>23</v>
      </c>
      <c r="B59" s="17" t="s">
        <v>196</v>
      </c>
      <c r="C59" s="5" t="s">
        <v>231</v>
      </c>
      <c r="D59" s="23"/>
      <c r="E59" s="26" t="s">
        <v>198</v>
      </c>
      <c r="F59" s="20"/>
      <c r="G59" s="20"/>
      <c r="H59" s="21"/>
    </row>
    <row r="60" customFormat="false" ht="21" hidden="false" customHeight="true" outlineLevel="0" collapsed="false">
      <c r="A60" s="17" t="n">
        <f aca="false">IF(C60="","",COUNTA(C$37:C60))</f>
        <v>24</v>
      </c>
      <c r="B60" s="17" t="s">
        <v>196</v>
      </c>
      <c r="C60" s="5" t="s">
        <v>232</v>
      </c>
      <c r="D60" s="33"/>
      <c r="E60" s="26" t="s">
        <v>202</v>
      </c>
      <c r="F60" s="20"/>
      <c r="G60" s="20"/>
      <c r="H60" s="21"/>
    </row>
    <row r="61" customFormat="false" ht="21" hidden="false" customHeight="true" outlineLevel="0" collapsed="false">
      <c r="A61" s="17" t="n">
        <f aca="false">IF(C61="","",COUNTA(C$37:C61))</f>
        <v>25</v>
      </c>
      <c r="B61" s="17" t="s">
        <v>196</v>
      </c>
      <c r="C61" s="5" t="s">
        <v>233</v>
      </c>
      <c r="D61" s="25"/>
      <c r="E61" s="26" t="s">
        <v>180</v>
      </c>
      <c r="F61" s="20"/>
      <c r="G61" s="20"/>
      <c r="H61" s="21"/>
    </row>
    <row r="62" customFormat="false" ht="21" hidden="false" customHeight="true" outlineLevel="0" collapsed="false">
      <c r="A62" s="17" t="n">
        <f aca="false">IF(C62="","",COUNTA(C$37:C62))</f>
        <v>26</v>
      </c>
      <c r="B62" s="17" t="s">
        <v>196</v>
      </c>
      <c r="C62" s="5" t="s">
        <v>234</v>
      </c>
      <c r="D62" s="25"/>
      <c r="E62" s="34" t="s">
        <v>235</v>
      </c>
      <c r="F62" s="20"/>
      <c r="G62" s="20"/>
      <c r="H62" s="35" t="s">
        <v>236</v>
      </c>
    </row>
    <row r="63" customFormat="false" ht="36" hidden="false" customHeight="true" outlineLevel="0" collapsed="false">
      <c r="A63" s="17" t="n">
        <f aca="false">IF(C63="","",COUNTA(C$37:C63))</f>
        <v>27</v>
      </c>
      <c r="B63" s="17" t="s">
        <v>196</v>
      </c>
      <c r="C63" s="5" t="s">
        <v>237</v>
      </c>
      <c r="D63" s="24" t="str">
        <f aca="false">IF(OR($D$37="",$D$38="",$D$40="",$D$39=""),"",$D$37*$D$38*($D$40-$D$39))</f>
        <v/>
      </c>
      <c r="E63" s="19" t="s">
        <v>73</v>
      </c>
      <c r="F63" s="31" t="str">
        <f aca="false">IF(OR(D63="",$D$15=""),"",IF(D63&gt;=$D$15,"확인","부적합"))</f>
        <v/>
      </c>
      <c r="G63" s="32" t="str">
        <f aca="false">IF(OR(D63="",$D$15=""),"","Q/Cycle "&amp;TEXT($D$15,"#,##0.0")&amp;"㎥ 대비 "&amp;TEXT(D63/$D$15-1,"+0.0%;-0.0%;0.0%"))</f>
        <v/>
      </c>
      <c r="H63" s="12"/>
      <c r="I63" s="14" t="str">
        <f aca="false">IF(OR(F63="부적합",F63="검토"),MAX(I$1:I61)+1,"")</f>
        <v/>
      </c>
      <c r="J63" s="14" t="str">
        <f aca="false">LEFT(C63,FIND("|",SUBSTITUTE(C63," (","|")&amp;"|")-1)&amp;IF(OR(D63="",G63=""),IF(D63&lt;&gt;"",": "&amp;IF(D63="","",D63&amp;IF(ISNUMBER(D63),IF(E63="",""," "&amp;E63),"")),IF(G63&lt;&gt;"",": "&amp;G63,"")),": "&amp;IF(D63="","",D63&amp;IF(ISNUMBER(D63),IF(E63="",""," "&amp;E63),""))&amp;" / "&amp;G63)</f>
        <v>배출량 적정성 검토</v>
      </c>
      <c r="K63" s="14" t="n">
        <f aca="false">IF(C63&lt;&gt;"",1,0)</f>
        <v>1</v>
      </c>
    </row>
    <row r="64" customFormat="false" ht="36" hidden="false" customHeight="true" outlineLevel="0" collapsed="false">
      <c r="A64" s="17" t="n">
        <f aca="false">IF(C64="","",COUNTA(C$37:C64))</f>
        <v>28</v>
      </c>
      <c r="B64" s="17" t="s">
        <v>196</v>
      </c>
      <c r="C64" s="5" t="s">
        <v>238</v>
      </c>
      <c r="D64" s="36" t="str">
        <f aca="false">IF(OR($D$15="",$D$58="",$D$58=0),"",IF($D$62="",$D$15,$D$62/$D$13/$D$14)/($D$58*3.6))</f>
        <v/>
      </c>
      <c r="E64" s="26" t="s">
        <v>180</v>
      </c>
      <c r="F64" s="31" t="str">
        <f aca="false">IF(OR(D64="",$D$61=""),"",IF(ROUND(IF($D$62="",$D$15,$D$62/$D$13/$D$14)/($D$61*3600),3)&lt;=$D$58/1000,"확인","부적합"))</f>
        <v/>
      </c>
      <c r="G64" s="32" t="str">
        <f aca="false">IF(OR(D64="",$D$61=""),"","배출 대상 "&amp;TEXT(IF($D$62="",$D$15,$D$62/$D$13/$D$14),"0.0")&amp;"㎥/cycle · 필요 배출유량 "&amp;TEXT(ROUND(IF($D$62="",$D$15,$D$62/$D$13/$D$14)/($D$61*3600),3)*1000,"0")&amp;"L/s (계산서 방식 ROUND 3자리) / 배출단계 "&amp;TEXT($D$61,"0.00")&amp;"hr")</f>
        <v/>
      </c>
      <c r="H64" s="12"/>
      <c r="I64" s="14" t="str">
        <f aca="false">IF(OR(F64="부적합",F64="검토"),MAX(I$1:I63)+1,"")</f>
        <v/>
      </c>
      <c r="J64" s="14" t="str">
        <f aca="false">LEFT(C64,FIND("|",SUBSTITUTE(C64," (","|")&amp;"|")-1)&amp;IF(OR(D64="",G64=""),IF(D64&lt;&gt;"",": "&amp;IF(D64="","",D64&amp;IF(ISNUMBER(D64),IF(E64="",""," "&amp;E64),"")),IF(G64&lt;&gt;"",": "&amp;G64,"")),": "&amp;IF(D64="","",D64&amp;IF(ISNUMBER(D64),IF(E64="",""," "&amp;E64),""))&amp;" / "&amp;G64)</f>
        <v>배출소요시간 검토</v>
      </c>
      <c r="K64" s="14" t="n">
        <f aca="false">IF(C64&lt;&gt;"",1,0)</f>
        <v>1</v>
      </c>
    </row>
    <row r="66" customFormat="false" ht="21" hidden="false" customHeight="true" outlineLevel="0" collapsed="false">
      <c r="A66" s="3" t="s">
        <v>239</v>
      </c>
      <c r="B66" s="3"/>
      <c r="C66" s="3"/>
      <c r="D66" s="3"/>
      <c r="E66" s="3"/>
      <c r="F66" s="3"/>
      <c r="G66" s="3"/>
      <c r="H66" s="3"/>
    </row>
    <row r="67" customFormat="false" ht="18.75" hidden="false" customHeight="true" outlineLevel="0" collapsed="false">
      <c r="A67" s="15" t="s">
        <v>166</v>
      </c>
      <c r="B67" s="4" t="s">
        <v>143</v>
      </c>
      <c r="C67" s="4" t="s">
        <v>114</v>
      </c>
      <c r="D67" s="4" t="s">
        <v>167</v>
      </c>
      <c r="E67" s="4" t="s">
        <v>168</v>
      </c>
      <c r="F67" s="4" t="s">
        <v>55</v>
      </c>
      <c r="G67" s="4" t="s">
        <v>169</v>
      </c>
      <c r="H67" s="4" t="s">
        <v>5</v>
      </c>
    </row>
    <row r="68" customFormat="false" ht="30" hidden="false" customHeight="true" outlineLevel="0" collapsed="false">
      <c r="A68" s="17" t="n">
        <f aca="false">IF(C68="","",COUNTA(C$68:C68))</f>
        <v>1</v>
      </c>
      <c r="B68" s="17" t="s">
        <v>240</v>
      </c>
      <c r="C68" s="5" t="s">
        <v>241</v>
      </c>
      <c r="D68" s="12"/>
      <c r="E68" s="12"/>
      <c r="F68" s="28"/>
      <c r="G68" s="12"/>
      <c r="H68" s="12"/>
      <c r="I68" s="14" t="str">
        <f aca="false">IF(OR(F68="부적합",F68="검토"),MAX(I$1:I67)+1,"")</f>
        <v/>
      </c>
      <c r="J68" s="14" t="str">
        <f aca="false">LEFT(C68,FIND("|",SUBSTITUTE(C68," (","|")&amp;"|")-1)&amp;IF(OR(D68="",G68=""),IF(D68&lt;&gt;"",": "&amp;IF(D68="","",D68&amp;IF(ISNUMBER(D68),IF(E68="",""," "&amp;E68),"")),IF(G68&lt;&gt;"",": "&amp;G68,"")),": "&amp;IF(D68="","",D68&amp;IF(ISNUMBER(D68),IF(E68="",""," "&amp;E68),""))&amp;" / "&amp;G68)</f>
        <v>제어반 설치 위치 검토</v>
      </c>
      <c r="K68" s="14" t="n">
        <f aca="false">IF(C68&lt;&gt;"",1,0)</f>
        <v>1</v>
      </c>
    </row>
    <row r="69" customFormat="false" ht="30" hidden="false" customHeight="true" outlineLevel="0" collapsed="false">
      <c r="A69" s="17" t="n">
        <f aca="false">IF(C69="","",COUNTA(C$68:C69))</f>
        <v>2</v>
      </c>
      <c r="B69" s="17" t="s">
        <v>240</v>
      </c>
      <c r="C69" s="5" t="s">
        <v>242</v>
      </c>
      <c r="D69" s="12"/>
      <c r="E69" s="12"/>
      <c r="F69" s="28"/>
      <c r="G69" s="12"/>
      <c r="H69" s="12"/>
      <c r="I69" s="14" t="str">
        <f aca="false">IF(OR(F69="부적합",F69="검토"),MAX(I$1:I68)+1,"")</f>
        <v/>
      </c>
      <c r="J69" s="14" t="str">
        <f aca="false">LEFT(C69,FIND("|",SUBSTITUTE(C69," (","|")&amp;"|")-1)&amp;IF(OR(D69="",G69=""),IF(D69&lt;&gt;"",": "&amp;IF(D69="","",D69&amp;IF(ISNUMBER(D69),IF(E69="",""," "&amp;E69),"")),IF(G69&lt;&gt;"",": "&amp;G69,"")),": "&amp;IF(D69="","",D69&amp;IF(ISNUMBER(D69),IF(E69="",""," "&amp;E69),""))&amp;" / "&amp;G69)</f>
        <v>제어반 구성 및 포함내용 검토</v>
      </c>
      <c r="K69" s="14" t="n">
        <f aca="false">IF(C69&lt;&gt;"",1,0)</f>
        <v>1</v>
      </c>
    </row>
    <row r="70" customFormat="false" ht="30" hidden="false" customHeight="true" outlineLevel="0" collapsed="false">
      <c r="A70" s="17" t="n">
        <f aca="false">IF(C70="","",COUNTA(C$68:C70))</f>
        <v>3</v>
      </c>
      <c r="B70" s="17" t="s">
        <v>240</v>
      </c>
      <c r="C70" s="5" t="s">
        <v>243</v>
      </c>
      <c r="D70" s="12"/>
      <c r="E70" s="12"/>
      <c r="F70" s="28"/>
      <c r="G70" s="12"/>
      <c r="H70" s="12"/>
      <c r="I70" s="14" t="str">
        <f aca="false">IF(OR(F70="부적합",F70="검토"),MAX(I$1:I69)+1,"")</f>
        <v/>
      </c>
      <c r="J70" s="14" t="str">
        <f aca="false">LEFT(C70,FIND("|",SUBSTITUTE(C70," (","|")&amp;"|")-1)&amp;IF(OR(D70="",G70=""),IF(D70&lt;&gt;"",": "&amp;IF(D70="","",D70&amp;IF(ISNUMBER(D70),IF(E70="",""," "&amp;E70),"")),IF(G70&lt;&gt;"",": "&amp;G70,"")),": "&amp;IF(D70="","",D70&amp;IF(ISNUMBER(D70),IF(E70="",""," "&amp;E70),""))&amp;" / "&amp;G70)</f>
        <v>감시제어반 RCS 포함 여부</v>
      </c>
      <c r="K70" s="14" t="n">
        <f aca="false">IF(C70&lt;&gt;"",1,0)</f>
        <v>1</v>
      </c>
    </row>
    <row r="71" customFormat="false" ht="30" hidden="false" customHeight="true" outlineLevel="0" collapsed="false">
      <c r="A71" s="17" t="n">
        <f aca="false">IF(C71="","",COUNTA(C$68:C71))</f>
        <v>4</v>
      </c>
      <c r="B71" s="17" t="s">
        <v>240</v>
      </c>
      <c r="C71" s="6" t="s">
        <v>244</v>
      </c>
      <c r="D71" s="12"/>
      <c r="E71" s="12"/>
      <c r="F71" s="28"/>
      <c r="G71" s="12"/>
      <c r="H71" s="12"/>
      <c r="I71" s="14" t="str">
        <f aca="false">IF(OR(F71="부적합",F71="검토"),MAX(I$1:I70)+1,"")</f>
        <v/>
      </c>
      <c r="J71" s="14" t="str">
        <f aca="false">LEFT(C71,FIND("|",SUBSTITUTE(C71," (","|")&amp;"|")-1)&amp;IF(OR(D71="",G71=""),IF(D71&lt;&gt;"",": "&amp;IF(D71="","",D71&amp;IF(ISNUMBER(D71),IF(E71="",""," "&amp;E71),"")),IF(G71&lt;&gt;"",": "&amp;G71,"")),": "&amp;IF(D71="","",D71&amp;IF(ISNUMBER(D71),IF(E71="",""," "&amp;E71),""))&amp;" / "&amp;G71)</f>
        <v>MCC반 포함 여부</v>
      </c>
      <c r="K71" s="14" t="n">
        <f aca="false">IF(C71&lt;&gt;"",1,0)</f>
        <v>1</v>
      </c>
    </row>
    <row r="72" customFormat="false" ht="36" hidden="false" customHeight="true" outlineLevel="0" collapsed="false">
      <c r="A72" s="17" t="n">
        <f aca="false">IF(C72="","",COUNTA(C$68:C72))</f>
        <v>5</v>
      </c>
      <c r="B72" s="17" t="s">
        <v>240</v>
      </c>
      <c r="C72" s="5" t="s">
        <v>245</v>
      </c>
      <c r="D72" s="12"/>
      <c r="E72" s="12"/>
      <c r="F72" s="28"/>
      <c r="G72" s="12"/>
      <c r="H72" s="12"/>
      <c r="I72" s="14" t="str">
        <f aca="false">IF(OR(F72="부적합",F72="검토"),MAX(I$1:I71)+1,"")</f>
        <v/>
      </c>
      <c r="J72" s="14" t="str">
        <f aca="false">LEFT(C72,FIND("|",SUBSTITUTE(C72," (","|")&amp;"|")-1)&amp;IF(OR(D72="",G72=""),IF(D72&lt;&gt;"",": "&amp;IF(D72="","",D72&amp;IF(ISNUMBER(D72),IF(E72="",""," "&amp;E72),"")),IF(G72&lt;&gt;"",": "&amp;G72,"")),": "&amp;IF(D72="","",D72&amp;IF(ISNUMBER(D72),IF(E72="",""," "&amp;E72),""))&amp;" / "&amp;G72)</f>
        <v>제어반 재질 및 규격 검토</v>
      </c>
      <c r="K72" s="14" t="n">
        <f aca="false">IF(C72&lt;&gt;"",1,0)</f>
        <v>1</v>
      </c>
    </row>
    <row r="73" customFormat="false" ht="30" hidden="false" customHeight="true" outlineLevel="0" collapsed="false">
      <c r="A73" s="17" t="n">
        <f aca="false">IF(C73="","",COUNTA(C$68:C73))</f>
        <v>6</v>
      </c>
      <c r="B73" s="17" t="s">
        <v>240</v>
      </c>
      <c r="C73" s="5" t="s">
        <v>246</v>
      </c>
      <c r="D73" s="12"/>
      <c r="E73" s="12"/>
      <c r="F73" s="28"/>
      <c r="G73" s="12"/>
      <c r="H73" s="12"/>
      <c r="I73" s="14" t="str">
        <f aca="false">IF(OR(F73="부적합",F73="검토"),MAX(I$1:I72)+1,"")</f>
        <v/>
      </c>
      <c r="J73" s="14" t="str">
        <f aca="false">LEFT(C73,FIND("|",SUBSTITUTE(C73," (","|")&amp;"|")-1)&amp;IF(OR(D73="",G73=""),IF(D73&lt;&gt;"",": "&amp;IF(D73="","",D73&amp;IF(ISNUMBER(D73),IF(E73="",""," "&amp;E73),"")),IF(G73&lt;&gt;"",": "&amp;G73,"")),": "&amp;IF(D73="","",D73&amp;IF(ISNUMBER(D73),IF(E73="",""," "&amp;E73),""))&amp;" / "&amp;G73)</f>
        <v>제어반 베이스 검토</v>
      </c>
      <c r="K73" s="14" t="n">
        <f aca="false">IF(C73&lt;&gt;"",1,0)</f>
        <v>1</v>
      </c>
    </row>
    <row r="74" customFormat="false" ht="21" hidden="false" customHeight="true" outlineLevel="0" collapsed="false">
      <c r="A74" s="17" t="n">
        <f aca="false">IF(C74="","",COUNTA(C$68:C74))</f>
        <v>7</v>
      </c>
      <c r="B74" s="17" t="s">
        <v>240</v>
      </c>
      <c r="C74" s="6" t="s">
        <v>247</v>
      </c>
      <c r="D74" s="25"/>
      <c r="E74" s="26" t="s">
        <v>202</v>
      </c>
      <c r="F74" s="28"/>
      <c r="G74" s="12"/>
      <c r="H74" s="12"/>
      <c r="I74" s="14" t="str">
        <f aca="false">IF(OR(F74="부적합",F74="검토"),MAX(I$1:I73)+1,"")</f>
        <v/>
      </c>
      <c r="J74" s="14" t="str">
        <f aca="false">LEFT(C74,FIND("|",SUBSTITUTE(C74," (","|")&amp;"|")-1)&amp;IF(OR(D74="",G74=""),IF(D74&lt;&gt;"",": "&amp;IF(D74="","",D74&amp;IF(ISNUMBER(D74),IF(E74="",""," "&amp;E74),"")),IF(G74&lt;&gt;"",": "&amp;G74,"")),": "&amp;IF(D74="","",D74&amp;IF(ISNUMBER(D74),IF(E74="",""," "&amp;E74),""))&amp;" / "&amp;G74)</f>
        <v>1차 전원 공급 용량</v>
      </c>
      <c r="K74" s="14" t="n">
        <f aca="false">IF(C74&lt;&gt;"",1,0)</f>
        <v>1</v>
      </c>
    </row>
    <row r="75" customFormat="false" ht="36" hidden="false" customHeight="true" outlineLevel="0" collapsed="false">
      <c r="A75" s="17" t="n">
        <f aca="false">IF(C75="","",COUNTA(C$68:C75))</f>
        <v>8</v>
      </c>
      <c r="B75" s="17" t="s">
        <v>240</v>
      </c>
      <c r="C75" s="5" t="s">
        <v>248</v>
      </c>
      <c r="D75" s="27" t="str">
        <f aca="false">IF(OR($D$51="",$D$60="",$D$13=""),"",($D$51+$D$60)*$D$13)</f>
        <v/>
      </c>
      <c r="E75" s="26" t="s">
        <v>202</v>
      </c>
      <c r="F75" s="31" t="str">
        <f aca="false">IF(OR(D75="",$D$74=""),"",IF($D$74&gt;=D75,"확인","부적합"))</f>
        <v/>
      </c>
      <c r="G75" s="32" t="str">
        <f aca="false">IF(D75="","","1차 전원 "&amp;IF($D$74="","-",TEXT($D$74,"0.0")&amp;"kW "&amp;IF($D$74&gt;=D75,"(충족)","(부족)")))</f>
        <v/>
      </c>
      <c r="H75" s="12"/>
      <c r="I75" s="14" t="str">
        <f aca="false">IF(OR(F75="부적합",F75="검토"),MAX(I$1:I74)+1,"")</f>
        <v/>
      </c>
      <c r="J75" s="14" t="str">
        <f aca="false">LEFT(C75,FIND("|",SUBSTITUTE(C75," (","|")&amp;"|")-1)&amp;IF(OR(D75="",G75=""),IF(D75&lt;&gt;"",": "&amp;IF(D75="","",D75&amp;IF(ISNUMBER(D75),IF(E75="",""," "&amp;E75),"")),IF(G75&lt;&gt;"",": "&amp;G75,"")),": "&amp;IF(D75="","",D75&amp;IF(ISNUMBER(D75),IF(E75="",""," "&amp;E75),""))&amp;" / "&amp;G75)</f>
        <v>동력부하 합계</v>
      </c>
      <c r="K75" s="14" t="n">
        <f aca="false">IF(C75&lt;&gt;"",1,0)</f>
        <v>1</v>
      </c>
    </row>
    <row r="76" customFormat="false" ht="21" hidden="false" customHeight="true" outlineLevel="0" collapsed="false">
      <c r="A76" s="17" t="n">
        <f aca="false">IF(C76="","",COUNTA(C$68:C76))</f>
        <v>9</v>
      </c>
      <c r="B76" s="17" t="s">
        <v>240</v>
      </c>
      <c r="C76" s="6" t="s">
        <v>249</v>
      </c>
      <c r="D76" s="25"/>
      <c r="E76" s="26" t="s">
        <v>188</v>
      </c>
      <c r="F76" s="20"/>
      <c r="G76" s="20"/>
      <c r="H76" s="21"/>
    </row>
    <row r="77" customFormat="false" ht="21" hidden="false" customHeight="true" outlineLevel="0" collapsed="false">
      <c r="A77" s="17" t="n">
        <f aca="false">IF(C77="","",COUNTA(C$68:C77))</f>
        <v>10</v>
      </c>
      <c r="B77" s="17" t="s">
        <v>240</v>
      </c>
      <c r="C77" s="6" t="s">
        <v>250</v>
      </c>
      <c r="D77" s="25" t="n">
        <v>1.3</v>
      </c>
      <c r="E77" s="19" t="s">
        <v>251</v>
      </c>
      <c r="F77" s="20"/>
      <c r="G77" s="20"/>
      <c r="H77" s="21"/>
    </row>
    <row r="78" customFormat="false" ht="21" hidden="false" customHeight="true" outlineLevel="0" collapsed="false">
      <c r="A78" s="17" t="n">
        <f aca="false">IF(C78="","",COUNTA(C$68:C78))</f>
        <v>11</v>
      </c>
      <c r="B78" s="17" t="s">
        <v>240</v>
      </c>
      <c r="C78" s="6" t="s">
        <v>252</v>
      </c>
      <c r="D78" s="27" t="str">
        <f aca="false">IF(OR($D$76="",$D$77=""),"",$D$76*$D$77)</f>
        <v/>
      </c>
      <c r="E78" s="26" t="s">
        <v>188</v>
      </c>
      <c r="F78" s="28"/>
      <c r="G78" s="12"/>
      <c r="H78" s="12"/>
      <c r="I78" s="14" t="str">
        <f aca="false">IF(OR(F78="부적합",F78="검토"),MAX(I$1:I77)+1,"")</f>
        <v/>
      </c>
      <c r="J78" s="14" t="str">
        <f aca="false">LEFT(C78,FIND("|",SUBSTITUTE(C78," (","|")&amp;"|")-1)&amp;IF(OR(D78="",G78=""),IF(D78&lt;&gt;"",": "&amp;IF(D78="","",D78&amp;IF(ISNUMBER(D78),IF(E78="",""," "&amp;E78),"")),IF(G78&lt;&gt;"",": "&amp;G78,"")),": "&amp;IF(D78="","",D78&amp;IF(ISNUMBER(D78),IF(E78="",""," "&amp;E78),""))&amp;" / "&amp;G78)</f>
        <v>2차 배선 거리 검토</v>
      </c>
      <c r="K78" s="14" t="n">
        <f aca="false">IF(C78&lt;&gt;"",1,0)</f>
        <v>1</v>
      </c>
    </row>
    <row r="79" customFormat="false" ht="30" hidden="false" customHeight="true" outlineLevel="0" collapsed="false">
      <c r="A79" s="17" t="n">
        <f aca="false">IF(C79="","",COUNTA(C$68:C79))</f>
        <v>12</v>
      </c>
      <c r="B79" s="17" t="s">
        <v>240</v>
      </c>
      <c r="C79" s="5" t="s">
        <v>253</v>
      </c>
      <c r="D79" s="12"/>
      <c r="E79" s="12"/>
      <c r="F79" s="28"/>
      <c r="G79" s="12"/>
      <c r="H79" s="12"/>
      <c r="I79" s="14" t="str">
        <f aca="false">IF(OR(F79="부적합",F79="검토"),MAX(I$1:I78)+1,"")</f>
        <v/>
      </c>
      <c r="J79" s="14" t="str">
        <f aca="false">LEFT(C79,FIND("|",SUBSTITUTE(C79," (","|")&amp;"|")-1)&amp;IF(OR(D79="",G79=""),IF(D79&lt;&gt;"",": "&amp;IF(D79="","",D79&amp;IF(ISNUMBER(D79),IF(E79="",""," "&amp;E79),"")),IF(G79&lt;&gt;"",": "&amp;G79,"")),": "&amp;IF(D79="","",D79&amp;IF(ISNUMBER(D79),IF(E79="",""," "&amp;E79),""))&amp;" / "&amp;G79)</f>
        <v>제어 · 통신 방식 검토</v>
      </c>
      <c r="K79" s="14" t="n">
        <f aca="false">IF(C79&lt;&gt;"",1,0)</f>
        <v>1</v>
      </c>
    </row>
    <row r="80" customFormat="false" ht="36" hidden="false" customHeight="true" outlineLevel="0" collapsed="false">
      <c r="A80" s="17" t="n">
        <f aca="false">IF(C80="","",COUNTA(C$68:C80))</f>
        <v>13</v>
      </c>
      <c r="B80" s="17" t="s">
        <v>240</v>
      </c>
      <c r="C80" s="5" t="s">
        <v>254</v>
      </c>
      <c r="D80" s="12"/>
      <c r="E80" s="12"/>
      <c r="F80" s="28"/>
      <c r="G80" s="12"/>
      <c r="H80" s="12"/>
      <c r="I80" s="14" t="str">
        <f aca="false">IF(OR(F80="부적합",F80="검토"),MAX(I$1:I79)+1,"")</f>
        <v/>
      </c>
      <c r="J80" s="14" t="str">
        <f aca="false">LEFT(C80,FIND("|",SUBSTITUTE(C80," (","|")&amp;"|")-1)&amp;IF(OR(D80="",G80=""),IF(D80&lt;&gt;"",": "&amp;IF(D80="","",D80&amp;IF(ISNUMBER(D80),IF(E80="",""," "&amp;E80),"")),IF(G80&lt;&gt;"",": "&amp;G80,"")),": "&amp;IF(D80="","",D80&amp;IF(ISNUMBER(D80),IF(E80="",""," "&amp;E80),""))&amp;" / "&amp;G80)</f>
        <v>계측기 설치 위치 · 브라켓 및 계측 설비 인터페이스 확인</v>
      </c>
      <c r="K80" s="14" t="n">
        <f aca="false">IF(C80&lt;&gt;"",1,0)</f>
        <v>1</v>
      </c>
    </row>
    <row r="82" customFormat="false" ht="21" hidden="false" customHeight="true" outlineLevel="0" collapsed="false">
      <c r="A82" s="3" t="s">
        <v>255</v>
      </c>
      <c r="B82" s="3"/>
      <c r="C82" s="3"/>
      <c r="D82" s="3"/>
      <c r="E82" s="3"/>
      <c r="F82" s="3"/>
      <c r="G82" s="3"/>
      <c r="H82" s="3"/>
    </row>
    <row r="83" customFormat="false" ht="18.75" hidden="false" customHeight="true" outlineLevel="0" collapsed="false">
      <c r="A83" s="15" t="s">
        <v>166</v>
      </c>
      <c r="B83" s="4" t="s">
        <v>143</v>
      </c>
      <c r="C83" s="4" t="s">
        <v>114</v>
      </c>
      <c r="D83" s="4" t="s">
        <v>167</v>
      </c>
      <c r="E83" s="4" t="s">
        <v>168</v>
      </c>
      <c r="F83" s="4" t="s">
        <v>55</v>
      </c>
      <c r="G83" s="4" t="s">
        <v>169</v>
      </c>
      <c r="H83" s="4" t="s">
        <v>5</v>
      </c>
    </row>
    <row r="84" customFormat="false" ht="30" hidden="false" customHeight="true" outlineLevel="0" collapsed="false">
      <c r="A84" s="17" t="n">
        <f aca="false">IF(C84="","",COUNTA(C$84:C84))</f>
        <v>1</v>
      </c>
      <c r="B84" s="17" t="s">
        <v>186</v>
      </c>
      <c r="C84" s="5" t="s">
        <v>256</v>
      </c>
      <c r="D84" s="12"/>
      <c r="E84" s="12"/>
      <c r="F84" s="28"/>
      <c r="G84" s="12"/>
      <c r="H84" s="12"/>
      <c r="I84" s="14" t="str">
        <f aca="false">IF(OR(F84="부적합",F84="검토"),MAX(I$1:I83)+1,"")</f>
        <v/>
      </c>
      <c r="J84" s="14" t="str">
        <f aca="false">LEFT(C84,FIND("|",SUBSTITUTE(C84," (","|")&amp;"|")-1)&amp;IF(OR(D84="",G84=""),IF(D84&lt;&gt;"",": "&amp;IF(D84="","",D84&amp;IF(ISNUMBER(D84),IF(E84="",""," "&amp;E84),"")),IF(G84&lt;&gt;"",": "&amp;G84,"")),": "&amp;IF(D84="","",D84&amp;IF(ISNUMBER(D84),IF(E84="",""," "&amp;E84),""))&amp;" / "&amp;G84)</f>
        <v>처리수조 PIT 유무</v>
      </c>
      <c r="K84" s="14" t="n">
        <f aca="false">IF(C84&lt;&gt;"",1,0)</f>
        <v>1</v>
      </c>
    </row>
    <row r="85" customFormat="false" ht="21" hidden="false" customHeight="true" outlineLevel="0" collapsed="false">
      <c r="A85" s="17" t="n">
        <f aca="false">IF(C85="","",COUNTA(C$84:C85))</f>
        <v>2</v>
      </c>
      <c r="B85" s="17" t="s">
        <v>186</v>
      </c>
      <c r="C85" s="5" t="s">
        <v>257</v>
      </c>
      <c r="D85" s="25"/>
      <c r="E85" s="26" t="s">
        <v>188</v>
      </c>
      <c r="F85" s="20"/>
      <c r="G85" s="20"/>
      <c r="H85" s="21"/>
    </row>
    <row r="86" customFormat="false" ht="21" hidden="false" customHeight="true" outlineLevel="0" collapsed="false">
      <c r="A86" s="17" t="n">
        <f aca="false">IF(C86="","",COUNTA(C$84:C86))</f>
        <v>3</v>
      </c>
      <c r="B86" s="17" t="s">
        <v>186</v>
      </c>
      <c r="C86" s="5" t="s">
        <v>258</v>
      </c>
      <c r="D86" s="25"/>
      <c r="E86" s="26" t="s">
        <v>188</v>
      </c>
      <c r="F86" s="20"/>
      <c r="G86" s="20"/>
      <c r="H86" s="21"/>
    </row>
    <row r="87" customFormat="false" ht="21" hidden="false" customHeight="true" outlineLevel="0" collapsed="false">
      <c r="A87" s="17" t="n">
        <f aca="false">IF(C87="","",COUNTA(C$84:C87))</f>
        <v>4</v>
      </c>
      <c r="B87" s="17" t="s">
        <v>186</v>
      </c>
      <c r="C87" s="5" t="s">
        <v>259</v>
      </c>
      <c r="D87" s="25"/>
      <c r="E87" s="26" t="s">
        <v>188</v>
      </c>
      <c r="F87" s="20"/>
      <c r="G87" s="20"/>
      <c r="H87" s="21"/>
    </row>
    <row r="88" customFormat="false" ht="21" hidden="false" customHeight="true" outlineLevel="0" collapsed="false">
      <c r="A88" s="17" t="n">
        <f aca="false">IF(C88="","",COUNTA(C$84:C88))</f>
        <v>5</v>
      </c>
      <c r="B88" s="17" t="s">
        <v>186</v>
      </c>
      <c r="C88" s="5" t="s">
        <v>260</v>
      </c>
      <c r="D88" s="23" t="n">
        <v>1</v>
      </c>
      <c r="E88" s="19" t="s">
        <v>175</v>
      </c>
      <c r="F88" s="20"/>
      <c r="G88" s="20"/>
      <c r="H88" s="21"/>
    </row>
    <row r="89" customFormat="false" ht="36" hidden="false" customHeight="true" outlineLevel="0" collapsed="false">
      <c r="A89" s="17" t="n">
        <f aca="false">IF(C89="","",COUNTA(C$84:C89))</f>
        <v>6</v>
      </c>
      <c r="B89" s="17" t="s">
        <v>186</v>
      </c>
      <c r="C89" s="5" t="s">
        <v>261</v>
      </c>
      <c r="D89" s="24" t="str">
        <f aca="false">IF(COUNT($D$85,$D$86,$D$87,$D$88)&lt;4,"",$D$85*$D$86*$D$87*$D$88)</f>
        <v/>
      </c>
      <c r="E89" s="19" t="s">
        <v>193</v>
      </c>
      <c r="F89" s="20"/>
      <c r="G89" s="20"/>
      <c r="H89" s="21"/>
    </row>
    <row r="90" customFormat="false" ht="36" hidden="false" customHeight="true" outlineLevel="0" collapsed="false">
      <c r="A90" s="17" t="n">
        <f aca="false">IF(C90="","",COUNTA(C$84:C90))</f>
        <v>7</v>
      </c>
      <c r="B90" s="17" t="s">
        <v>186</v>
      </c>
      <c r="C90" s="5" t="s">
        <v>262</v>
      </c>
      <c r="D90" s="27" t="str">
        <f aca="false">IF(OR($D$89="",$D$12=""),"",$D$89/($D$12/24))</f>
        <v/>
      </c>
      <c r="E90" s="26" t="s">
        <v>180</v>
      </c>
      <c r="F90" s="28"/>
      <c r="G90" s="12"/>
      <c r="H90" s="12"/>
      <c r="I90" s="14" t="str">
        <f aca="false">IF(OR(F90="부적합",F90="검토"),MAX(I$1:I89)+1,"")</f>
        <v/>
      </c>
      <c r="J90" s="14" t="str">
        <f aca="false">LEFT(C90,FIND("|",SUBSTITUTE(C90," (","|")&amp;"|")-1)&amp;IF(OR(D90="",G90=""),IF(D90&lt;&gt;"",": "&amp;IF(D90="","",D90&amp;IF(ISNUMBER(D90),IF(E90="",""," "&amp;E90),"")),IF(G90&lt;&gt;"",": "&amp;G90,"")),": "&amp;IF(D90="","",D90&amp;IF(ISNUMBER(D90),IF(E90="",""," "&amp;E90),""))&amp;" / "&amp;G90)</f>
        <v>처리수조 유효용량 및 운전수위 검토</v>
      </c>
      <c r="K90" s="14" t="n">
        <f aca="false">IF(C90&lt;&gt;"",1,0)</f>
        <v>1</v>
      </c>
    </row>
    <row r="91" customFormat="false" ht="21" hidden="false" customHeight="true" outlineLevel="0" collapsed="false">
      <c r="A91" s="17" t="n">
        <f aca="false">IF(C91="","",COUNTA(C$84:C91))</f>
        <v>8</v>
      </c>
      <c r="B91" s="17" t="s">
        <v>196</v>
      </c>
      <c r="C91" s="5" t="s">
        <v>263</v>
      </c>
      <c r="D91" s="18"/>
      <c r="E91" s="19" t="s">
        <v>172</v>
      </c>
      <c r="F91" s="20"/>
      <c r="G91" s="20"/>
      <c r="H91" s="21"/>
    </row>
    <row r="92" customFormat="false" ht="36" hidden="false" customHeight="true" outlineLevel="0" collapsed="false">
      <c r="A92" s="17" t="n">
        <f aca="false">IF(C92="","",COUNTA(C$84:C92))</f>
        <v>9</v>
      </c>
      <c r="B92" s="17" t="s">
        <v>196</v>
      </c>
      <c r="C92" s="5" t="s">
        <v>264</v>
      </c>
      <c r="D92" s="12"/>
      <c r="E92" s="12"/>
      <c r="F92" s="28"/>
      <c r="G92" s="12"/>
      <c r="H92" s="12"/>
      <c r="I92" s="14" t="str">
        <f aca="false">IF(OR(F92="부적합",F92="검토"),MAX(I$1:I91)+1,"")</f>
        <v/>
      </c>
      <c r="J92" s="14" t="str">
        <f aca="false">LEFT(C92,FIND("|",SUBSTITUTE(C92," (","|")&amp;"|")-1)&amp;IF(OR(D92="",G92=""),IF(D92&lt;&gt;"",": "&amp;IF(D92="","",D92&amp;IF(ISNUMBER(D92),IF(E92="",""," "&amp;E92),"")),IF(G92&lt;&gt;"",": "&amp;G92,"")),": "&amp;IF(D92="","",D92&amp;IF(ISNUMBER(D92),IF(E92="",""," "&amp;E92),""))&amp;" / "&amp;G92)</f>
        <v>총인설비 공급 범위 및 연결 scope 검토</v>
      </c>
      <c r="K92" s="14" t="n">
        <f aca="false">IF(C92&lt;&gt;"",1,0)</f>
        <v>1</v>
      </c>
    </row>
    <row r="93" customFormat="false" ht="30" hidden="false" customHeight="true" outlineLevel="0" collapsed="false">
      <c r="A93" s="17" t="n">
        <f aca="false">IF(C93="","",COUNTA(C$84:C93))</f>
        <v>10</v>
      </c>
      <c r="B93" s="17" t="s">
        <v>186</v>
      </c>
      <c r="C93" s="5" t="s">
        <v>265</v>
      </c>
      <c r="D93" s="12"/>
      <c r="E93" s="12"/>
      <c r="F93" s="28"/>
      <c r="G93" s="12"/>
      <c r="H93" s="12"/>
      <c r="I93" s="14" t="str">
        <f aca="false">IF(OR(F93="부적합",F93="검토"),MAX(I$1:I92)+1,"")</f>
        <v/>
      </c>
      <c r="J93" s="14" t="str">
        <f aca="false">LEFT(C93,FIND("|",SUBSTITUTE(C93," (","|")&amp;"|")-1)&amp;IF(OR(D93="",G93=""),IF(D93&lt;&gt;"",": "&amp;IF(D93="","",D93&amp;IF(ISNUMBER(D93),IF(E93="",""," "&amp;E93),"")),IF(G93&lt;&gt;"",": "&amp;G93,"")),": "&amp;IF(D93="","",D93&amp;IF(ISNUMBER(D93),IF(E93="",""," "&amp;E93),""))&amp;" / "&amp;G93)</f>
        <v>총인설비 PAD Scope 및 규격 검토</v>
      </c>
      <c r="K93" s="14" t="n">
        <f aca="false">IF(C93&lt;&gt;"",1,0)</f>
        <v>1</v>
      </c>
    </row>
    <row r="94" customFormat="false" ht="21" hidden="false" customHeight="true" outlineLevel="0" collapsed="false">
      <c r="A94" s="17" t="n">
        <f aca="false">IF(C94="","",COUNTA(C$84:C94))</f>
        <v>11</v>
      </c>
      <c r="B94" s="17" t="s">
        <v>196</v>
      </c>
      <c r="C94" s="5" t="s">
        <v>266</v>
      </c>
      <c r="D94" s="29"/>
      <c r="E94" s="19" t="s">
        <v>200</v>
      </c>
      <c r="F94" s="20"/>
      <c r="G94" s="20"/>
      <c r="H94" s="21"/>
    </row>
    <row r="95" customFormat="false" ht="21" hidden="false" customHeight="true" outlineLevel="0" collapsed="false">
      <c r="A95" s="17" t="n">
        <f aca="false">IF(C95="","",COUNTA(C$84:C95))</f>
        <v>12</v>
      </c>
      <c r="B95" s="17" t="s">
        <v>196</v>
      </c>
      <c r="C95" s="5" t="s">
        <v>267</v>
      </c>
      <c r="D95" s="23"/>
      <c r="E95" s="26" t="s">
        <v>198</v>
      </c>
      <c r="F95" s="20"/>
      <c r="G95" s="20"/>
      <c r="H95" s="21"/>
    </row>
    <row r="96" customFormat="false" ht="21" hidden="false" customHeight="true" outlineLevel="0" collapsed="false">
      <c r="A96" s="17" t="n">
        <f aca="false">IF(C96="","",COUNTA(C$84:C96))</f>
        <v>13</v>
      </c>
      <c r="B96" s="17" t="s">
        <v>196</v>
      </c>
      <c r="C96" s="5" t="s">
        <v>268</v>
      </c>
      <c r="D96" s="12"/>
      <c r="E96" s="12"/>
      <c r="F96" s="28"/>
      <c r="G96" s="12"/>
      <c r="H96" s="12"/>
      <c r="I96" s="14" t="str">
        <f aca="false">IF(OR(F96="부적합",F96="검토"),MAX(I$1:I95)+1,"")</f>
        <v/>
      </c>
      <c r="J96" s="14" t="str">
        <f aca="false">LEFT(C96,FIND("|",SUBSTITUTE(C96," (","|")&amp;"|")-1)&amp;IF(OR(D96="",G96=""),IF(D96&lt;&gt;"",": "&amp;IF(D96="","",D96&amp;IF(ISNUMBER(D96),IF(E96="",""," "&amp;E96),"")),IF(G96&lt;&gt;"",": "&amp;G96,"")),": "&amp;IF(D96="","",D96&amp;IF(ISNUMBER(D96),IF(E96="",""," "&amp;E96),""))&amp;" / "&amp;G96)</f>
        <v>배출관 경로 · 레벨 검토</v>
      </c>
      <c r="K96" s="14" t="n">
        <f aca="false">IF(C96&lt;&gt;"",1,0)</f>
        <v>1</v>
      </c>
    </row>
    <row r="97" customFormat="false" ht="36" hidden="false" customHeight="true" outlineLevel="0" collapsed="false">
      <c r="A97" s="17" t="n">
        <f aca="false">IF(C97="","",COUNTA(C$84:C97))</f>
        <v>14</v>
      </c>
      <c r="B97" s="17" t="s">
        <v>196</v>
      </c>
      <c r="C97" s="5" t="s">
        <v>269</v>
      </c>
      <c r="D97" s="30" t="str">
        <f aca="false">IF(OR($D$94="",$D$94=0,$D$15=""),"",$D$15/$D$94)</f>
        <v/>
      </c>
      <c r="E97" s="19" t="s">
        <v>184</v>
      </c>
      <c r="F97" s="28"/>
      <c r="G97" s="12"/>
      <c r="H97" s="12"/>
      <c r="I97" s="14" t="str">
        <f aca="false">IF(OR(F97="부적합",F97="검토"),MAX(I$1:I95)+1,"")</f>
        <v/>
      </c>
      <c r="J97" s="14" t="str">
        <f aca="false">LEFT(C97,FIND("|",SUBSTITUTE(C97," (","|")&amp;"|")-1)&amp;IF(OR(D97="",G97=""),IF(D97&lt;&gt;"",": "&amp;IF(D97="","",D97&amp;IF(ISNUMBER(D97),IF(E97="",""," "&amp;E97),"")),IF(G97&lt;&gt;"",": "&amp;G97,"")),": "&amp;IF(D97="","",D97&amp;IF(ISNUMBER(D97),IF(E97="",""," "&amp;E97),""))&amp;" / "&amp;G97)</f>
        <v>총인 공급펌프 용량 확인</v>
      </c>
      <c r="K97" s="14" t="n">
        <f aca="false">IF(C97&lt;&gt;"",1,0)</f>
        <v>1</v>
      </c>
    </row>
    <row r="99" customFormat="false" ht="21" hidden="false" customHeight="true" outlineLevel="0" collapsed="false">
      <c r="A99" s="3" t="s">
        <v>270</v>
      </c>
      <c r="B99" s="3"/>
      <c r="C99" s="3"/>
      <c r="D99" s="3"/>
      <c r="E99" s="3"/>
      <c r="F99" s="3"/>
      <c r="G99" s="3"/>
      <c r="H99" s="3"/>
    </row>
    <row r="100" customFormat="false" ht="18.75" hidden="false" customHeight="true" outlineLevel="0" collapsed="false">
      <c r="A100" s="15" t="s">
        <v>166</v>
      </c>
      <c r="B100" s="4" t="s">
        <v>143</v>
      </c>
      <c r="C100" s="4" t="s">
        <v>114</v>
      </c>
      <c r="D100" s="4" t="s">
        <v>167</v>
      </c>
      <c r="E100" s="4" t="s">
        <v>168</v>
      </c>
      <c r="F100" s="4" t="s">
        <v>55</v>
      </c>
      <c r="G100" s="4" t="s">
        <v>169</v>
      </c>
      <c r="H100" s="4" t="s">
        <v>5</v>
      </c>
    </row>
    <row r="101" customFormat="false" ht="30" hidden="false" customHeight="true" outlineLevel="0" collapsed="false">
      <c r="A101" s="17" t="str">
        <f aca="false">IF(C101="","",COUNTA(C$101:C101))</f>
        <v/>
      </c>
      <c r="B101" s="7"/>
      <c r="C101" s="12"/>
      <c r="D101" s="12"/>
      <c r="E101" s="12"/>
      <c r="F101" s="28"/>
      <c r="G101" s="12"/>
      <c r="H101" s="12"/>
      <c r="I101" s="14" t="str">
        <f aca="false">IF(OR(F101="부적합",F101="검토"),MAX(I$1:I100)+1,"")</f>
        <v/>
      </c>
      <c r="J101" s="14" t="str">
        <f aca="false">LEFT(C101,FIND("|",SUBSTITUTE(C101," (","|")&amp;"|")-1)&amp;IF(OR(D101="",G101=""),IF(D101&lt;&gt;"",": "&amp;IF(D101="","",D101&amp;IF(ISNUMBER(D101),IF(E101="",""," "&amp;E101),"")),IF(G101&lt;&gt;"",": "&amp;G101,"")),": "&amp;IF(D101="","",D101&amp;IF(ISNUMBER(D101),IF(E101="",""," "&amp;E101),""))&amp;" / "&amp;G101)</f>
        <v/>
      </c>
      <c r="K101" s="14" t="n">
        <f aca="false">IF(C101&lt;&gt;"",1,0)</f>
        <v>0</v>
      </c>
    </row>
    <row r="102" customFormat="false" ht="30" hidden="false" customHeight="true" outlineLevel="0" collapsed="false">
      <c r="A102" s="17" t="str">
        <f aca="false">IF(C102="","",COUNTA(C$101:C102))</f>
        <v/>
      </c>
      <c r="B102" s="7"/>
      <c r="C102" s="12"/>
      <c r="D102" s="12"/>
      <c r="E102" s="12"/>
      <c r="F102" s="28"/>
      <c r="G102" s="12"/>
      <c r="H102" s="12"/>
      <c r="I102" s="14" t="str">
        <f aca="false">IF(OR(F102="부적합",F102="검토"),MAX(I$1:I101)+1,"")</f>
        <v/>
      </c>
      <c r="J102" s="14" t="str">
        <f aca="false">LEFT(C102,FIND("|",SUBSTITUTE(C102," (","|")&amp;"|")-1)&amp;IF(OR(D102="",G102=""),IF(D102&lt;&gt;"",": "&amp;IF(D102="","",D102&amp;IF(ISNUMBER(D102),IF(E102="",""," "&amp;E102),"")),IF(G102&lt;&gt;"",": "&amp;G102,"")),": "&amp;IF(D102="","",D102&amp;IF(ISNUMBER(D102),IF(E102="",""," "&amp;E102),""))&amp;" / "&amp;G102)</f>
        <v/>
      </c>
      <c r="K102" s="14" t="n">
        <f aca="false">IF(C102&lt;&gt;"",1,0)</f>
        <v>0</v>
      </c>
    </row>
    <row r="103" customFormat="false" ht="30" hidden="false" customHeight="true" outlineLevel="0" collapsed="false">
      <c r="A103" s="17" t="str">
        <f aca="false">IF(C103="","",COUNTA(C$101:C103))</f>
        <v/>
      </c>
      <c r="B103" s="7"/>
      <c r="C103" s="12"/>
      <c r="D103" s="12"/>
      <c r="E103" s="12"/>
      <c r="F103" s="28"/>
      <c r="G103" s="12"/>
      <c r="H103" s="12"/>
      <c r="I103" s="14" t="str">
        <f aca="false">IF(OR(F103="부적합",F103="검토"),MAX(I$1:I102)+1,"")</f>
        <v/>
      </c>
      <c r="J103" s="14" t="str">
        <f aca="false">LEFT(C103,FIND("|",SUBSTITUTE(C103," (","|")&amp;"|")-1)&amp;IF(OR(D103="",G103=""),IF(D103&lt;&gt;"",": "&amp;IF(D103="","",D103&amp;IF(ISNUMBER(D103),IF(E103="",""," "&amp;E103),"")),IF(G103&lt;&gt;"",": "&amp;G103,"")),": "&amp;IF(D103="","",D103&amp;IF(ISNUMBER(D103),IF(E103="",""," "&amp;E103),""))&amp;" / "&amp;G103)</f>
        <v/>
      </c>
      <c r="K103" s="14" t="n">
        <f aca="false">IF(C103&lt;&gt;"",1,0)</f>
        <v>0</v>
      </c>
    </row>
    <row r="104" customFormat="false" ht="30" hidden="false" customHeight="true" outlineLevel="0" collapsed="false">
      <c r="A104" s="17" t="str">
        <f aca="false">IF(C104="","",COUNTA(C$101:C104))</f>
        <v/>
      </c>
      <c r="B104" s="7"/>
      <c r="C104" s="12"/>
      <c r="D104" s="12"/>
      <c r="E104" s="12"/>
      <c r="F104" s="28"/>
      <c r="G104" s="12"/>
      <c r="H104" s="12"/>
      <c r="I104" s="14" t="str">
        <f aca="false">IF(OR(F104="부적합",F104="검토"),MAX(I$1:I103)+1,"")</f>
        <v/>
      </c>
      <c r="J104" s="14" t="str">
        <f aca="false">LEFT(C104,FIND("|",SUBSTITUTE(C104," (","|")&amp;"|")-1)&amp;IF(OR(D104="",G104=""),IF(D104&lt;&gt;"",": "&amp;IF(D104="","",D104&amp;IF(ISNUMBER(D104),IF(E104="",""," "&amp;E104),"")),IF(G104&lt;&gt;"",": "&amp;G104,"")),": "&amp;IF(D104="","",D104&amp;IF(ISNUMBER(D104),IF(E104="",""," "&amp;E104),""))&amp;" / "&amp;G104)</f>
        <v/>
      </c>
      <c r="K104" s="14" t="n">
        <f aca="false">IF(C104&lt;&gt;"",1,0)</f>
        <v>0</v>
      </c>
    </row>
    <row r="105" customFormat="false" ht="30" hidden="false" customHeight="true" outlineLevel="0" collapsed="false">
      <c r="A105" s="17" t="str">
        <f aca="false">IF(C105="","",COUNTA(C$101:C105))</f>
        <v/>
      </c>
      <c r="B105" s="7"/>
      <c r="C105" s="12"/>
      <c r="D105" s="12"/>
      <c r="E105" s="12"/>
      <c r="F105" s="28"/>
      <c r="G105" s="12"/>
      <c r="H105" s="12"/>
      <c r="I105" s="14" t="str">
        <f aca="false">IF(OR(F105="부적합",F105="검토"),MAX(I$1:I104)+1,"")</f>
        <v/>
      </c>
      <c r="J105" s="14" t="str">
        <f aca="false">LEFT(C105,FIND("|",SUBSTITUTE(C105," (","|")&amp;"|")-1)&amp;IF(OR(D105="",G105=""),IF(D105&lt;&gt;"",": "&amp;IF(D105="","",D105&amp;IF(ISNUMBER(D105),IF(E105="",""," "&amp;E105),"")),IF(G105&lt;&gt;"",": "&amp;G105,"")),": "&amp;IF(D105="","",D105&amp;IF(ISNUMBER(D105),IF(E105="",""," "&amp;E105),""))&amp;" / "&amp;G105)</f>
        <v/>
      </c>
      <c r="K105" s="14" t="n">
        <f aca="false">IF(C105&lt;&gt;"",1,0)</f>
        <v>0</v>
      </c>
    </row>
    <row r="107" customFormat="false" ht="21" hidden="false" customHeight="true" outlineLevel="0" collapsed="false">
      <c r="A107" s="3" t="s">
        <v>271</v>
      </c>
      <c r="B107" s="3"/>
      <c r="C107" s="3"/>
      <c r="D107" s="3"/>
      <c r="E107" s="3"/>
      <c r="F107" s="3"/>
      <c r="G107" s="3"/>
      <c r="H107" s="3"/>
    </row>
    <row r="108" customFormat="false" ht="29.25" hidden="false" customHeight="true" outlineLevel="0" collapsed="false">
      <c r="A108" s="4" t="s">
        <v>272</v>
      </c>
      <c r="B108" s="4"/>
      <c r="C108" s="4" t="s">
        <v>273</v>
      </c>
      <c r="D108" s="4"/>
      <c r="E108" s="4"/>
      <c r="F108" s="4"/>
      <c r="G108" s="4" t="s">
        <v>274</v>
      </c>
      <c r="H108" s="4"/>
    </row>
    <row r="109" customFormat="false" ht="39.75" hidden="false" customHeight="true" outlineLevel="0" collapsed="false">
      <c r="A109" s="32" t="str">
        <f aca="false">IFERROR(INDEX($F$1:$F$105,MATCH(1,$I$1:$I$105,0))&amp;" · "&amp;INDEX($B$1:$B$105,MATCH(1,$I$1:$I$105,0)),"")</f>
        <v/>
      </c>
      <c r="B109" s="32"/>
      <c r="C109" s="32" t="str">
        <f aca="false">IFERROR(INDEX($J$1:$J$105,MATCH(1,$I$1:$I$105,0)),"")</f>
        <v/>
      </c>
      <c r="D109" s="32"/>
      <c r="E109" s="32"/>
      <c r="F109" s="32"/>
      <c r="G109" s="12"/>
      <c r="H109" s="12"/>
    </row>
    <row r="110" customFormat="false" ht="39.75" hidden="false" customHeight="true" outlineLevel="0" collapsed="false">
      <c r="A110" s="32" t="str">
        <f aca="false">IFERROR(INDEX($F$1:$F$105,MATCH(2,$I$1:$I$105,0))&amp;" · "&amp;INDEX($B$1:$B$105,MATCH(2,$I$1:$I$105,0)),"")</f>
        <v/>
      </c>
      <c r="B110" s="32"/>
      <c r="C110" s="32" t="str">
        <f aca="false">IFERROR(INDEX($J$1:$J$105,MATCH(2,$I$1:$I$105,0)),"")</f>
        <v/>
      </c>
      <c r="D110" s="32"/>
      <c r="E110" s="32"/>
      <c r="F110" s="32"/>
      <c r="G110" s="12"/>
      <c r="H110" s="12"/>
    </row>
    <row r="111" customFormat="false" ht="39.75" hidden="false" customHeight="true" outlineLevel="0" collapsed="false">
      <c r="A111" s="32" t="str">
        <f aca="false">IFERROR(INDEX($F$1:$F$105,MATCH(3,$I$1:$I$105,0))&amp;" · "&amp;INDEX($B$1:$B$105,MATCH(3,$I$1:$I$105,0)),"")</f>
        <v/>
      </c>
      <c r="B111" s="32"/>
      <c r="C111" s="32" t="str">
        <f aca="false">IFERROR(INDEX($J$1:$J$105,MATCH(3,$I$1:$I$105,0)),"")</f>
        <v/>
      </c>
      <c r="D111" s="32"/>
      <c r="E111" s="32"/>
      <c r="F111" s="32"/>
      <c r="G111" s="12"/>
      <c r="H111" s="12"/>
    </row>
    <row r="112" customFormat="false" ht="39.75" hidden="false" customHeight="true" outlineLevel="0" collapsed="false">
      <c r="A112" s="32" t="str">
        <f aca="false">IFERROR(INDEX($F$1:$F$105,MATCH(4,$I$1:$I$105,0))&amp;" · "&amp;INDEX($B$1:$B$105,MATCH(4,$I$1:$I$105,0)),"")</f>
        <v/>
      </c>
      <c r="B112" s="32"/>
      <c r="C112" s="32" t="str">
        <f aca="false">IFERROR(INDEX($J$1:$J$105,MATCH(4,$I$1:$I$105,0)),"")</f>
        <v/>
      </c>
      <c r="D112" s="32"/>
      <c r="E112" s="32"/>
      <c r="F112" s="32"/>
      <c r="G112" s="12"/>
      <c r="H112" s="12"/>
    </row>
    <row r="113" customFormat="false" ht="39.75" hidden="false" customHeight="true" outlineLevel="0" collapsed="false">
      <c r="A113" s="32" t="str">
        <f aca="false">IFERROR(INDEX($F$1:$F$105,MATCH(5,$I$1:$I$105,0))&amp;" · "&amp;INDEX($B$1:$B$105,MATCH(5,$I$1:$I$105,0)),"")</f>
        <v/>
      </c>
      <c r="B113" s="32"/>
      <c r="C113" s="32" t="str">
        <f aca="false">IFERROR(INDEX($J$1:$J$105,MATCH(5,$I$1:$I$105,0)),"")</f>
        <v/>
      </c>
      <c r="D113" s="32"/>
      <c r="E113" s="32"/>
      <c r="F113" s="32"/>
      <c r="G113" s="12"/>
      <c r="H113" s="12"/>
    </row>
    <row r="114" customFormat="false" ht="39.75" hidden="false" customHeight="true" outlineLevel="0" collapsed="false">
      <c r="A114" s="32" t="str">
        <f aca="false">IFERROR(INDEX($F$1:$F$105,MATCH(6,$I$1:$I$105,0))&amp;" · "&amp;INDEX($B$1:$B$105,MATCH(6,$I$1:$I$105,0)),"")</f>
        <v/>
      </c>
      <c r="B114" s="32"/>
      <c r="C114" s="32" t="str">
        <f aca="false">IFERROR(INDEX($J$1:$J$105,MATCH(6,$I$1:$I$105,0)),"")</f>
        <v/>
      </c>
      <c r="D114" s="32"/>
      <c r="E114" s="32"/>
      <c r="F114" s="32"/>
      <c r="G114" s="12"/>
      <c r="H114" s="12"/>
    </row>
    <row r="115" customFormat="false" ht="39.75" hidden="false" customHeight="true" outlineLevel="0" collapsed="false">
      <c r="A115" s="32" t="str">
        <f aca="false">IFERROR(INDEX($F$1:$F$105,MATCH(7,$I$1:$I$105,0))&amp;" · "&amp;INDEX($B$1:$B$105,MATCH(7,$I$1:$I$105,0)),"")</f>
        <v/>
      </c>
      <c r="B115" s="32"/>
      <c r="C115" s="32" t="str">
        <f aca="false">IFERROR(INDEX($J$1:$J$105,MATCH(7,$I$1:$I$105,0)),"")</f>
        <v/>
      </c>
      <c r="D115" s="32"/>
      <c r="E115" s="32"/>
      <c r="F115" s="32"/>
      <c r="G115" s="12"/>
      <c r="H115" s="12"/>
    </row>
    <row r="116" customFormat="false" ht="39.75" hidden="false" customHeight="true" outlineLevel="0" collapsed="false">
      <c r="A116" s="32" t="str">
        <f aca="false">IF(MAX($I$1:$I$105)&gt;8,"",IFERROR(INDEX($F$1:$F$105,MATCH(8,$I$1:$I$105,0))&amp;" · "&amp;INDEX($B$1:$B$105,MATCH(8,$I$1:$I$105,0)),""))</f>
        <v/>
      </c>
      <c r="B116" s="32"/>
      <c r="C116" s="32" t="str">
        <f aca="false">IF(MAX($I$1:$I$105)&gt;8,"외 "&amp;(MAX($I$1:$I$105)-7)&amp;"건은 위 점검표에서 확인",IFERROR(INDEX($J$1:$J$105,MATCH(8,$I$1:$I$105,0)),""))</f>
        <v/>
      </c>
      <c r="D116" s="32"/>
      <c r="E116" s="32"/>
      <c r="F116" s="32"/>
      <c r="G116" s="12"/>
      <c r="H116" s="12"/>
    </row>
    <row r="117" customFormat="false" ht="30" hidden="false" customHeight="true" outlineLevel="0" collapsed="false">
      <c r="A117" s="4" t="s">
        <v>61</v>
      </c>
      <c r="B117" s="4"/>
      <c r="C117" s="7"/>
      <c r="D117" s="4" t="s">
        <v>58</v>
      </c>
      <c r="E117" s="4"/>
      <c r="F117" s="28"/>
      <c r="G117" s="28"/>
      <c r="H117" s="28"/>
    </row>
  </sheetData>
  <mergeCells count="77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9:H9"/>
    <mergeCell ref="A20:H20"/>
    <mergeCell ref="D28:E28"/>
    <mergeCell ref="D33:E33"/>
    <mergeCell ref="A35:H35"/>
    <mergeCell ref="D44:E44"/>
    <mergeCell ref="D45:E45"/>
    <mergeCell ref="D46:E46"/>
    <mergeCell ref="D47:E47"/>
    <mergeCell ref="D48:E48"/>
    <mergeCell ref="D54:E54"/>
    <mergeCell ref="D55:E55"/>
    <mergeCell ref="D56:E56"/>
    <mergeCell ref="D57:E57"/>
    <mergeCell ref="A66:H66"/>
    <mergeCell ref="D68:E68"/>
    <mergeCell ref="D69:E69"/>
    <mergeCell ref="D70:E70"/>
    <mergeCell ref="D71:E71"/>
    <mergeCell ref="D72:E72"/>
    <mergeCell ref="D73:E73"/>
    <mergeCell ref="D79:E79"/>
    <mergeCell ref="D80:E80"/>
    <mergeCell ref="A82:H82"/>
    <mergeCell ref="D84:E84"/>
    <mergeCell ref="D92:E92"/>
    <mergeCell ref="D93:E93"/>
    <mergeCell ref="D96:E96"/>
    <mergeCell ref="A99:H99"/>
    <mergeCell ref="D101:E101"/>
    <mergeCell ref="D102:E102"/>
    <mergeCell ref="D103:E103"/>
    <mergeCell ref="D104:E104"/>
    <mergeCell ref="D105:E105"/>
    <mergeCell ref="A107:H107"/>
    <mergeCell ref="A108:B108"/>
    <mergeCell ref="C108:F108"/>
    <mergeCell ref="G108:H108"/>
    <mergeCell ref="A109:B109"/>
    <mergeCell ref="C109:F109"/>
    <mergeCell ref="G109:H109"/>
    <mergeCell ref="A110:B110"/>
    <mergeCell ref="C110:F110"/>
    <mergeCell ref="G110:H110"/>
    <mergeCell ref="A111:B111"/>
    <mergeCell ref="C111:F111"/>
    <mergeCell ref="G111:H111"/>
    <mergeCell ref="A112:B112"/>
    <mergeCell ref="C112:F112"/>
    <mergeCell ref="G112:H112"/>
    <mergeCell ref="A113:B113"/>
    <mergeCell ref="C113:F113"/>
    <mergeCell ref="G113:H113"/>
    <mergeCell ref="A114:B114"/>
    <mergeCell ref="C114:F114"/>
    <mergeCell ref="G114:H114"/>
    <mergeCell ref="A115:B115"/>
    <mergeCell ref="C115:F115"/>
    <mergeCell ref="G115:H115"/>
    <mergeCell ref="A116:B116"/>
    <mergeCell ref="C116:F116"/>
    <mergeCell ref="G116:H116"/>
    <mergeCell ref="A117:B117"/>
    <mergeCell ref="D117:E117"/>
    <mergeCell ref="F117:H117"/>
  </mergeCells>
  <conditionalFormatting sqref="F27:F28 F32:F33 F41:F42 F44:F49 F51 F53:F57 F63:F64 F68:F75 F78:F80 F84 F90 F92:F93 F96:F97 F101:F105">
    <cfRule type="expression" priority="2" aboveAverage="0" equalAverage="0" bottom="0" percent="0" rank="0" text="" dxfId="0">
      <formula>F27="부적합"</formula>
    </cfRule>
    <cfRule type="expression" priority="3" aboveAverage="0" equalAverage="0" bottom="0" percent="0" rank="0" text="" dxfId="1">
      <formula>F27="검토"</formula>
    </cfRule>
  </conditionalFormatting>
  <conditionalFormatting sqref="D32">
    <cfRule type="expression" priority="4" aboveAverage="0" equalAverage="0" bottom="0" percent="0" rank="0" text="" dxfId="2">
      <formula>AND(ISNUMBER(D32),D32&gt;$D$18)</formula>
    </cfRule>
  </conditionalFormatting>
  <dataValidations count="1">
    <dataValidation allowBlank="true" errorStyle="stop" operator="between" showDropDown="false" showErrorMessage="false" showInputMessage="false" sqref="F27:F28 F32:F33 F41:F42 F44:F49 F51 F53:F57 F63:F64 F68:F75 F78:F80 F84 F90 F92:F93 F96:F97 F101:F105" type="list">
      <formula1>"확인,검토,부적합"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6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9.1484375" defaultRowHeight="16.5" zeroHeight="false" outlineLevelRow="0" outlineLevelCol="0"/>
  <cols>
    <col collapsed="false" customWidth="false" hidden="false" outlineLevel="0" max="1" min="1" style="37" width="9.14"/>
    <col collapsed="false" customWidth="true" hidden="false" outlineLevel="0" max="2" min="2" style="38" width="12.57"/>
    <col collapsed="false" customWidth="true" hidden="false" outlineLevel="0" max="3" min="3" style="39" width="64.43"/>
    <col collapsed="false" customWidth="true" hidden="false" outlineLevel="0" max="6" min="4" style="39" width="12.15"/>
    <col collapsed="false" customWidth="true" hidden="false" outlineLevel="0" max="7" min="7" style="39" width="35.14"/>
    <col collapsed="false" customWidth="false" hidden="false" outlineLevel="0" max="16384" min="8" style="37" width="9.14"/>
  </cols>
  <sheetData>
    <row r="1" customFormat="false" ht="30" hidden="false" customHeight="true" outlineLevel="0" collapsed="false">
      <c r="A1" s="40" t="s">
        <v>275</v>
      </c>
      <c r="B1" s="40"/>
      <c r="C1" s="40"/>
      <c r="D1" s="40"/>
      <c r="E1" s="40"/>
      <c r="F1" s="40"/>
      <c r="G1" s="40"/>
    </row>
    <row r="2" customFormat="false" ht="16.5" hidden="false" customHeight="true" outlineLevel="0" collapsed="false"/>
    <row r="3" customFormat="false" ht="30" hidden="false" customHeight="true" outlineLevel="0" collapsed="false">
      <c r="A3" s="41" t="s">
        <v>276</v>
      </c>
    </row>
    <row r="4" customFormat="false" ht="30" hidden="false" customHeight="true" outlineLevel="0" collapsed="false">
      <c r="A4" s="42" t="s">
        <v>277</v>
      </c>
      <c r="B4" s="42"/>
      <c r="C4" s="43" t="s">
        <v>278</v>
      </c>
      <c r="D4" s="43" t="s">
        <v>279</v>
      </c>
      <c r="E4" s="43" t="s">
        <v>280</v>
      </c>
      <c r="F4" s="43" t="s">
        <v>281</v>
      </c>
      <c r="G4" s="44" t="s">
        <v>5</v>
      </c>
    </row>
    <row r="5" customFormat="false" ht="30" hidden="false" customHeight="true" outlineLevel="0" collapsed="false">
      <c r="A5" s="45" t="s">
        <v>282</v>
      </c>
      <c r="B5" s="45"/>
      <c r="C5" s="46" t="s">
        <v>283</v>
      </c>
      <c r="D5" s="47"/>
      <c r="E5" s="47"/>
      <c r="F5" s="47"/>
      <c r="G5" s="48"/>
    </row>
    <row r="6" customFormat="false" ht="30" hidden="false" customHeight="true" outlineLevel="0" collapsed="false">
      <c r="A6" s="45"/>
      <c r="B6" s="45"/>
      <c r="C6" s="46" t="s">
        <v>284</v>
      </c>
      <c r="D6" s="47"/>
      <c r="E6" s="47"/>
      <c r="F6" s="47"/>
      <c r="G6" s="48"/>
    </row>
    <row r="7" customFormat="false" ht="30" hidden="false" customHeight="true" outlineLevel="0" collapsed="false">
      <c r="A7" s="45"/>
      <c r="B7" s="45"/>
      <c r="C7" s="46" t="s">
        <v>285</v>
      </c>
      <c r="D7" s="47"/>
      <c r="E7" s="47"/>
      <c r="F7" s="47"/>
      <c r="G7" s="48"/>
    </row>
    <row r="8" customFormat="false" ht="30" hidden="false" customHeight="true" outlineLevel="0" collapsed="false">
      <c r="A8" s="45"/>
      <c r="B8" s="45"/>
      <c r="C8" s="46" t="s">
        <v>286</v>
      </c>
      <c r="D8" s="47"/>
      <c r="E8" s="47"/>
      <c r="F8" s="47"/>
      <c r="G8" s="48"/>
    </row>
    <row r="9" customFormat="false" ht="30" hidden="false" customHeight="true" outlineLevel="0" collapsed="false">
      <c r="A9" s="45"/>
      <c r="B9" s="45"/>
      <c r="C9" s="46" t="s">
        <v>287</v>
      </c>
      <c r="D9" s="47"/>
      <c r="E9" s="47"/>
      <c r="F9" s="47"/>
      <c r="G9" s="48"/>
    </row>
    <row r="10" customFormat="false" ht="30" hidden="false" customHeight="true" outlineLevel="0" collapsed="false">
      <c r="A10" s="45"/>
      <c r="B10" s="45"/>
      <c r="C10" s="46" t="s">
        <v>288</v>
      </c>
      <c r="D10" s="47"/>
      <c r="E10" s="47"/>
      <c r="F10" s="47"/>
      <c r="G10" s="48"/>
    </row>
    <row r="11" customFormat="false" ht="30" hidden="true" customHeight="true" outlineLevel="0" collapsed="false">
      <c r="A11" s="45"/>
      <c r="B11" s="45"/>
      <c r="C11" s="49" t="s">
        <v>289</v>
      </c>
      <c r="D11" s="50" t="s">
        <v>290</v>
      </c>
      <c r="E11" s="50" t="s">
        <v>290</v>
      </c>
      <c r="F11" s="50" t="s">
        <v>290</v>
      </c>
      <c r="G11" s="48"/>
    </row>
    <row r="12" customFormat="false" ht="30" hidden="false" customHeight="true" outlineLevel="0" collapsed="false">
      <c r="A12" s="51" t="s">
        <v>291</v>
      </c>
      <c r="B12" s="52" t="s">
        <v>292</v>
      </c>
      <c r="C12" s="49" t="s">
        <v>293</v>
      </c>
      <c r="D12" s="49"/>
      <c r="E12" s="49"/>
      <c r="F12" s="49"/>
      <c r="G12" s="48"/>
    </row>
    <row r="13" customFormat="false" ht="30" hidden="false" customHeight="true" outlineLevel="0" collapsed="false">
      <c r="A13" s="51"/>
      <c r="B13" s="52"/>
      <c r="C13" s="46" t="s">
        <v>294</v>
      </c>
      <c r="D13" s="46"/>
      <c r="E13" s="46"/>
      <c r="F13" s="46"/>
      <c r="G13" s="53"/>
    </row>
    <row r="14" customFormat="false" ht="30" hidden="false" customHeight="true" outlineLevel="0" collapsed="false">
      <c r="A14" s="51"/>
      <c r="B14" s="52"/>
      <c r="C14" s="46" t="s">
        <v>295</v>
      </c>
      <c r="D14" s="46"/>
      <c r="E14" s="46"/>
      <c r="F14" s="46"/>
      <c r="G14" s="53"/>
    </row>
    <row r="15" customFormat="false" ht="30" hidden="false" customHeight="true" outlineLevel="0" collapsed="false">
      <c r="A15" s="51"/>
      <c r="B15" s="52"/>
      <c r="C15" s="46" t="s">
        <v>296</v>
      </c>
      <c r="D15" s="46"/>
      <c r="E15" s="46"/>
      <c r="F15" s="46"/>
      <c r="G15" s="53"/>
    </row>
    <row r="16" customFormat="false" ht="30" hidden="false" customHeight="true" outlineLevel="0" collapsed="false">
      <c r="A16" s="51"/>
      <c r="B16" s="52"/>
      <c r="C16" s="46" t="s">
        <v>297</v>
      </c>
      <c r="D16" s="46"/>
      <c r="E16" s="46"/>
      <c r="F16" s="46"/>
      <c r="G16" s="53"/>
    </row>
    <row r="17" customFormat="false" ht="30" hidden="false" customHeight="true" outlineLevel="0" collapsed="false">
      <c r="A17" s="51"/>
      <c r="B17" s="52"/>
      <c r="C17" s="46" t="s">
        <v>298</v>
      </c>
      <c r="D17" s="46"/>
      <c r="E17" s="46"/>
      <c r="F17" s="46"/>
      <c r="G17" s="53"/>
    </row>
    <row r="18" customFormat="false" ht="30" hidden="false" customHeight="true" outlineLevel="0" collapsed="false">
      <c r="A18" s="51"/>
      <c r="B18" s="52"/>
      <c r="C18" s="46" t="s">
        <v>299</v>
      </c>
      <c r="D18" s="46"/>
      <c r="E18" s="46"/>
      <c r="F18" s="46"/>
      <c r="G18" s="53"/>
    </row>
    <row r="19" customFormat="false" ht="30" hidden="false" customHeight="true" outlineLevel="0" collapsed="false">
      <c r="A19" s="51"/>
      <c r="B19" s="54" t="s">
        <v>300</v>
      </c>
      <c r="C19" s="46" t="s">
        <v>301</v>
      </c>
      <c r="D19" s="46"/>
      <c r="E19" s="46"/>
      <c r="F19" s="46"/>
      <c r="G19" s="53"/>
    </row>
    <row r="20" customFormat="false" ht="30" hidden="false" customHeight="true" outlineLevel="0" collapsed="false">
      <c r="A20" s="51"/>
      <c r="B20" s="54"/>
      <c r="C20" s="46" t="s">
        <v>302</v>
      </c>
      <c r="D20" s="46"/>
      <c r="E20" s="46"/>
      <c r="F20" s="46"/>
      <c r="G20" s="53"/>
    </row>
    <row r="21" customFormat="false" ht="30" hidden="false" customHeight="true" outlineLevel="0" collapsed="false">
      <c r="A21" s="51"/>
      <c r="B21" s="54"/>
      <c r="C21" s="46" t="s">
        <v>303</v>
      </c>
      <c r="D21" s="46"/>
      <c r="E21" s="46"/>
      <c r="F21" s="46"/>
      <c r="G21" s="53"/>
    </row>
    <row r="22" customFormat="false" ht="30" hidden="false" customHeight="true" outlineLevel="0" collapsed="false">
      <c r="A22" s="51"/>
      <c r="B22" s="54"/>
      <c r="C22" s="46" t="s">
        <v>304</v>
      </c>
      <c r="D22" s="46"/>
      <c r="E22" s="46"/>
      <c r="F22" s="46"/>
      <c r="G22" s="53"/>
    </row>
    <row r="23" customFormat="false" ht="30" hidden="false" customHeight="true" outlineLevel="0" collapsed="false">
      <c r="A23" s="51"/>
      <c r="B23" s="54"/>
      <c r="C23" s="46" t="s">
        <v>305</v>
      </c>
      <c r="D23" s="46"/>
      <c r="E23" s="46"/>
      <c r="F23" s="46"/>
      <c r="G23" s="53"/>
    </row>
    <row r="24" customFormat="false" ht="30" hidden="false" customHeight="true" outlineLevel="0" collapsed="false">
      <c r="A24" s="51"/>
      <c r="B24" s="54" t="s">
        <v>306</v>
      </c>
      <c r="C24" s="46" t="s">
        <v>307</v>
      </c>
      <c r="D24" s="46"/>
      <c r="E24" s="46"/>
      <c r="F24" s="46"/>
      <c r="G24" s="53"/>
    </row>
    <row r="25" customFormat="false" ht="30" hidden="false" customHeight="true" outlineLevel="0" collapsed="false">
      <c r="A25" s="51"/>
      <c r="B25" s="54"/>
      <c r="C25" s="46" t="s">
        <v>308</v>
      </c>
      <c r="D25" s="46"/>
      <c r="E25" s="46"/>
      <c r="F25" s="46"/>
      <c r="G25" s="53"/>
    </row>
    <row r="26" customFormat="false" ht="30" hidden="false" customHeight="true" outlineLevel="0" collapsed="false">
      <c r="A26" s="51"/>
      <c r="B26" s="54"/>
      <c r="C26" s="46" t="s">
        <v>309</v>
      </c>
      <c r="D26" s="46"/>
      <c r="E26" s="46"/>
      <c r="F26" s="46"/>
      <c r="G26" s="53"/>
    </row>
    <row r="27" customFormat="false" ht="30" hidden="false" customHeight="true" outlineLevel="0" collapsed="false">
      <c r="A27" s="51"/>
      <c r="B27" s="54"/>
      <c r="C27" s="46" t="s">
        <v>310</v>
      </c>
      <c r="D27" s="46"/>
      <c r="E27" s="46"/>
      <c r="F27" s="46"/>
      <c r="G27" s="53"/>
    </row>
    <row r="28" customFormat="false" ht="30" hidden="false" customHeight="true" outlineLevel="0" collapsed="false">
      <c r="A28" s="51"/>
      <c r="B28" s="54"/>
      <c r="C28" s="46" t="s">
        <v>311</v>
      </c>
      <c r="D28" s="46"/>
      <c r="E28" s="46"/>
      <c r="F28" s="46"/>
      <c r="G28" s="53"/>
    </row>
    <row r="29" customFormat="false" ht="58.5" hidden="false" customHeight="true" outlineLevel="0" collapsed="false">
      <c r="A29" s="51"/>
      <c r="B29" s="54" t="s">
        <v>312</v>
      </c>
      <c r="C29" s="55" t="s">
        <v>313</v>
      </c>
      <c r="D29" s="46"/>
      <c r="E29" s="46"/>
      <c r="F29" s="46"/>
      <c r="G29" s="53"/>
    </row>
    <row r="30" customFormat="false" ht="30" hidden="false" customHeight="true" outlineLevel="0" collapsed="false">
      <c r="A30" s="51"/>
      <c r="B30" s="54"/>
      <c r="C30" s="46" t="s">
        <v>314</v>
      </c>
      <c r="D30" s="46"/>
      <c r="E30" s="46"/>
      <c r="F30" s="46"/>
      <c r="G30" s="53"/>
    </row>
    <row r="31" customFormat="false" ht="30" hidden="false" customHeight="true" outlineLevel="0" collapsed="false">
      <c r="A31" s="51"/>
      <c r="B31" s="54"/>
      <c r="C31" s="56" t="s">
        <v>315</v>
      </c>
      <c r="D31" s="46"/>
      <c r="E31" s="46"/>
      <c r="F31" s="46"/>
      <c r="G31" s="53"/>
    </row>
    <row r="32" customFormat="false" ht="30" hidden="false" customHeight="true" outlineLevel="0" collapsed="false">
      <c r="A32" s="51"/>
      <c r="B32" s="54"/>
      <c r="C32" s="46" t="s">
        <v>316</v>
      </c>
      <c r="D32" s="46"/>
      <c r="E32" s="46"/>
      <c r="F32" s="46"/>
      <c r="G32" s="53"/>
    </row>
    <row r="33" customFormat="false" ht="30" hidden="false" customHeight="true" outlineLevel="0" collapsed="false">
      <c r="A33" s="51" t="s">
        <v>317</v>
      </c>
      <c r="B33" s="52" t="s">
        <v>292</v>
      </c>
      <c r="C33" s="46" t="s">
        <v>318</v>
      </c>
      <c r="D33" s="46"/>
      <c r="E33" s="46"/>
      <c r="F33" s="46"/>
      <c r="G33" s="53"/>
    </row>
    <row r="34" customFormat="false" ht="30" hidden="false" customHeight="true" outlineLevel="0" collapsed="false">
      <c r="A34" s="51"/>
      <c r="B34" s="52"/>
      <c r="C34" s="46" t="s">
        <v>319</v>
      </c>
      <c r="D34" s="46"/>
      <c r="E34" s="46"/>
      <c r="F34" s="46"/>
      <c r="G34" s="53"/>
    </row>
    <row r="35" customFormat="false" ht="30" hidden="false" customHeight="true" outlineLevel="0" collapsed="false">
      <c r="A35" s="51"/>
      <c r="B35" s="52"/>
      <c r="C35" s="46" t="s">
        <v>320</v>
      </c>
      <c r="D35" s="46"/>
      <c r="E35" s="46"/>
      <c r="F35" s="46"/>
      <c r="G35" s="53"/>
    </row>
    <row r="36" customFormat="false" ht="30" hidden="false" customHeight="true" outlineLevel="0" collapsed="false">
      <c r="A36" s="51"/>
      <c r="B36" s="52"/>
      <c r="C36" s="57" t="s">
        <v>321</v>
      </c>
      <c r="D36" s="57"/>
      <c r="E36" s="57"/>
      <c r="F36" s="57"/>
      <c r="G36" s="58"/>
    </row>
  </sheetData>
  <mergeCells count="10">
    <mergeCell ref="A1:G1"/>
    <mergeCell ref="A4:B4"/>
    <mergeCell ref="A5:B11"/>
    <mergeCell ref="A12:A32"/>
    <mergeCell ref="B12:B18"/>
    <mergeCell ref="B19:B23"/>
    <mergeCell ref="B24:B28"/>
    <mergeCell ref="B29:B32"/>
    <mergeCell ref="A33:A36"/>
    <mergeCell ref="B33:B36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6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58"/>
    <col collapsed="false" customWidth="true" hidden="false" outlineLevel="0" max="5" min="4" style="1" width="21"/>
    <col collapsed="false" customWidth="true" hidden="false" outlineLevel="0" max="6" min="6" style="1" width="20"/>
  </cols>
  <sheetData>
    <row r="1" customFormat="false" ht="30" hidden="false" customHeight="true" outlineLevel="0" collapsed="false">
      <c r="A1" s="59" t="s">
        <v>111</v>
      </c>
      <c r="B1" s="59"/>
      <c r="C1" s="59"/>
      <c r="D1" s="59"/>
      <c r="E1" s="59"/>
      <c r="F1" s="59"/>
    </row>
    <row r="2" customFormat="false" ht="16.5" hidden="false" customHeight="true" outlineLevel="0" collapsed="false"/>
    <row r="3" customFormat="false" ht="30" hidden="false" customHeight="true" outlineLevel="0" collapsed="false">
      <c r="A3" s="60" t="s">
        <v>276</v>
      </c>
    </row>
    <row r="4" customFormat="false" ht="30" hidden="false" customHeight="true" outlineLevel="0" collapsed="false">
      <c r="A4" s="61" t="s">
        <v>277</v>
      </c>
      <c r="B4" s="61"/>
      <c r="C4" s="62" t="s">
        <v>322</v>
      </c>
      <c r="D4" s="63" t="s">
        <v>323</v>
      </c>
      <c r="E4" s="63" t="s">
        <v>324</v>
      </c>
      <c r="F4" s="64" t="s">
        <v>325</v>
      </c>
    </row>
    <row r="5" customFormat="false" ht="30" hidden="false" customHeight="true" outlineLevel="0" collapsed="false">
      <c r="A5" s="65" t="s">
        <v>326</v>
      </c>
      <c r="B5" s="65"/>
      <c r="C5" s="66" t="s">
        <v>327</v>
      </c>
      <c r="D5" s="67" t="s">
        <v>328</v>
      </c>
      <c r="E5" s="67"/>
      <c r="F5" s="68"/>
    </row>
    <row r="6" customFormat="false" ht="30" hidden="false" customHeight="true" outlineLevel="0" collapsed="false">
      <c r="A6" s="65"/>
      <c r="B6" s="65"/>
      <c r="C6" s="66" t="s">
        <v>329</v>
      </c>
      <c r="D6" s="67" t="s">
        <v>330</v>
      </c>
      <c r="E6" s="67" t="str">
        <f aca="false">IF(검토서!$D$13="","",TEXT(검토서!$D$13,"0")&amp;"SET")</f>
        <v/>
      </c>
      <c r="F6" s="68"/>
    </row>
    <row r="7" customFormat="false" ht="30" hidden="false" customHeight="true" outlineLevel="0" collapsed="false">
      <c r="A7" s="65"/>
      <c r="B7" s="65"/>
      <c r="C7" s="66" t="s">
        <v>331</v>
      </c>
      <c r="D7" s="67" t="s">
        <v>332</v>
      </c>
      <c r="E7" s="67" t="str">
        <f aca="false">IF(검토서!$D$51="","",TEXT(검토서!$D$51,"0.#")&amp;"kW")</f>
        <v/>
      </c>
      <c r="F7" s="68"/>
    </row>
    <row r="8" customFormat="false" ht="30" hidden="false" customHeight="true" outlineLevel="0" collapsed="false">
      <c r="A8" s="65"/>
      <c r="B8" s="65"/>
      <c r="C8" s="66" t="s">
        <v>333</v>
      </c>
      <c r="D8" s="67" t="s">
        <v>334</v>
      </c>
      <c r="E8" s="66"/>
      <c r="F8" s="68"/>
    </row>
    <row r="9" customFormat="false" ht="30" hidden="false" customHeight="true" outlineLevel="0" collapsed="false">
      <c r="A9" s="65"/>
      <c r="B9" s="65"/>
      <c r="C9" s="66" t="s">
        <v>335</v>
      </c>
      <c r="D9" s="67" t="s">
        <v>336</v>
      </c>
      <c r="E9" s="67" t="str">
        <f aca="false">IF(검토서!$D$59="","",TEXT(검토서!$D$59,"0")&amp;"A")</f>
        <v/>
      </c>
      <c r="F9" s="68"/>
    </row>
    <row r="10" customFormat="false" ht="30" hidden="false" customHeight="true" outlineLevel="0" collapsed="false">
      <c r="A10" s="65"/>
      <c r="B10" s="65"/>
      <c r="C10" s="66" t="s">
        <v>337</v>
      </c>
      <c r="D10" s="67" t="s">
        <v>330</v>
      </c>
      <c r="E10" s="67" t="str">
        <f aca="false">IF(검토서!$D$13="","",TEXT(검토서!$D$13,"0")&amp;"SET")</f>
        <v/>
      </c>
      <c r="F10" s="68"/>
    </row>
    <row r="11" customFormat="false" ht="30" hidden="false" customHeight="true" outlineLevel="0" collapsed="false">
      <c r="A11" s="65"/>
      <c r="B11" s="65"/>
      <c r="C11" s="66" t="s">
        <v>338</v>
      </c>
      <c r="D11" s="67" t="s">
        <v>339</v>
      </c>
      <c r="E11" s="67" t="str">
        <f aca="false">IF(검토서!$D$60="","",TEXT(검토서!$D$60,"0.0#")&amp;"kW")</f>
        <v/>
      </c>
      <c r="F11" s="68"/>
    </row>
    <row r="12" customFormat="false" ht="30" hidden="false" customHeight="true" outlineLevel="0" collapsed="false">
      <c r="A12" s="65"/>
      <c r="B12" s="65"/>
      <c r="C12" s="66" t="s">
        <v>340</v>
      </c>
      <c r="D12" s="67" t="s">
        <v>341</v>
      </c>
      <c r="E12" s="66"/>
      <c r="F12" s="68"/>
    </row>
    <row r="13" customFormat="false" ht="30" hidden="false" customHeight="true" outlineLevel="0" collapsed="false">
      <c r="A13" s="65"/>
      <c r="B13" s="65"/>
      <c r="C13" s="66" t="s">
        <v>342</v>
      </c>
      <c r="D13" s="67" t="s">
        <v>343</v>
      </c>
      <c r="E13" s="66"/>
      <c r="F13" s="68"/>
    </row>
    <row r="14" customFormat="false" ht="30" hidden="false" customHeight="true" outlineLevel="0" collapsed="false">
      <c r="A14" s="65"/>
      <c r="B14" s="65"/>
      <c r="C14" s="66" t="s">
        <v>344</v>
      </c>
      <c r="D14" s="65" t="s">
        <v>345</v>
      </c>
      <c r="E14" s="67" t="str">
        <f aca="false">IF(OR(AND(D7="",D11=""),AND(E7="",E11="")),"",IF(AND(D7=E7,D11=E11),"불필요","필요"))</f>
        <v/>
      </c>
      <c r="F14" s="69" t="s">
        <v>346</v>
      </c>
    </row>
    <row r="15" customFormat="false" ht="30" hidden="false" customHeight="true" outlineLevel="0" collapsed="false">
      <c r="A15" s="65" t="s">
        <v>170</v>
      </c>
      <c r="B15" s="65" t="s">
        <v>186</v>
      </c>
      <c r="C15" s="66" t="s">
        <v>347</v>
      </c>
      <c r="D15" s="66"/>
      <c r="E15" s="67" t="str">
        <f aca="false">IF(OR(검토서!$D$37="",검토서!$D$38=""),"",TEXT(검토서!$D$37,"0.0#")&amp;" × "&amp;TEXT(검토서!$D$38,"0.0#")&amp;" m")</f>
        <v/>
      </c>
      <c r="F15" s="68"/>
    </row>
    <row r="16" customFormat="false" ht="30" hidden="false" customHeight="true" outlineLevel="0" collapsed="false">
      <c r="A16" s="65"/>
      <c r="B16" s="65"/>
      <c r="C16" s="66" t="s">
        <v>348</v>
      </c>
      <c r="D16" s="66"/>
      <c r="E16" s="67" t="str">
        <f aca="false">IF(OR(검토서!$D$39="",검토서!$D$40=""),"",TEXT(검토서!$D$39,"0.0#")&amp;" ~ "&amp;TEXT(검토서!$D$40,"0.0#")&amp;" m")</f>
        <v/>
      </c>
      <c r="F16" s="68"/>
    </row>
    <row r="17" customFormat="false" ht="30" hidden="false" customHeight="true" outlineLevel="0" collapsed="false">
      <c r="A17" s="65"/>
      <c r="B17" s="65"/>
      <c r="C17" s="66" t="s">
        <v>349</v>
      </c>
      <c r="D17" s="66"/>
      <c r="E17" s="67" t="str">
        <f aca="false">IF(OR(AND(D15="",D16=""),AND(E15="",E16="")),"",IF(AND(D15=E15,D16=E16),"불필요","필요"))</f>
        <v/>
      </c>
      <c r="F17" s="68"/>
    </row>
    <row r="18" customFormat="false" ht="30" hidden="false" customHeight="true" outlineLevel="0" collapsed="false">
      <c r="A18" s="65"/>
      <c r="B18" s="65"/>
      <c r="C18" s="66" t="s">
        <v>350</v>
      </c>
      <c r="D18" s="66"/>
      <c r="E18" s="66"/>
      <c r="F18" s="68"/>
    </row>
    <row r="19" customFormat="false" ht="30" hidden="false" customHeight="true" outlineLevel="0" collapsed="false">
      <c r="A19" s="65"/>
      <c r="B19" s="65"/>
      <c r="C19" s="66" t="s">
        <v>351</v>
      </c>
      <c r="D19" s="66"/>
      <c r="E19" s="65" t="str">
        <f aca="false">IF(검토서!$D$84&amp;검토서!$G$84="","",TRIM(검토서!$D$84&amp;IF(AND(검토서!$D$84&lt;&gt;"",검토서!$G$84&lt;&gt;"")," / ","")&amp;검토서!$G$84))</f>
        <v/>
      </c>
      <c r="F19" s="68"/>
    </row>
    <row r="20" customFormat="false" ht="30" hidden="false" customHeight="true" outlineLevel="0" collapsed="false">
      <c r="A20" s="65"/>
      <c r="B20" s="65"/>
      <c r="C20" s="66" t="s">
        <v>352</v>
      </c>
      <c r="D20" s="66"/>
      <c r="E20" s="66"/>
      <c r="F20" s="68"/>
    </row>
    <row r="21" customFormat="false" ht="30" hidden="false" customHeight="true" outlineLevel="0" collapsed="false">
      <c r="A21" s="65"/>
      <c r="B21" s="65"/>
      <c r="C21" s="66" t="s">
        <v>353</v>
      </c>
      <c r="D21" s="66"/>
      <c r="E21" s="66"/>
      <c r="F21" s="68"/>
    </row>
    <row r="22" customFormat="false" ht="30" hidden="false" customHeight="true" outlineLevel="0" collapsed="false">
      <c r="A22" s="65"/>
      <c r="B22" s="65" t="s">
        <v>196</v>
      </c>
      <c r="C22" s="66" t="s">
        <v>354</v>
      </c>
      <c r="D22" s="65" t="s">
        <v>355</v>
      </c>
      <c r="E22" s="65" t="str">
        <f aca="false">IF(검토서!$D$56&amp;검토서!$G$56="","",TRIM(검토서!$D$56&amp;IF(AND(검토서!$D$56&lt;&gt;"",검토서!$G$56&lt;&gt;"")," / ","")&amp;검토서!$G$56))</f>
        <v/>
      </c>
      <c r="F22" s="68"/>
    </row>
    <row r="23" customFormat="false" ht="30" hidden="false" customHeight="true" outlineLevel="0" collapsed="false">
      <c r="A23" s="65"/>
      <c r="B23" s="65"/>
      <c r="C23" s="66" t="s">
        <v>356</v>
      </c>
      <c r="D23" s="66"/>
      <c r="E23" s="66"/>
      <c r="F23" s="68"/>
    </row>
    <row r="24" customFormat="false" ht="39.75" hidden="false" customHeight="true" outlineLevel="0" collapsed="false">
      <c r="A24" s="65"/>
      <c r="B24" s="65"/>
      <c r="C24" s="66" t="s">
        <v>357</v>
      </c>
      <c r="D24" s="65" t="s">
        <v>358</v>
      </c>
      <c r="E24" s="67" t="str">
        <f aca="false">IF(검토서!$D$92="","",검토서!$D$92&amp;"")</f>
        <v/>
      </c>
      <c r="F24" s="68"/>
    </row>
    <row r="25" customFormat="false" ht="30" hidden="false" customHeight="true" outlineLevel="0" collapsed="false">
      <c r="A25" s="65"/>
      <c r="B25" s="65"/>
      <c r="C25" s="66" t="s">
        <v>359</v>
      </c>
      <c r="D25" s="66"/>
      <c r="E25" s="66"/>
      <c r="F25" s="68"/>
    </row>
    <row r="26" customFormat="false" ht="30" hidden="false" customHeight="true" outlineLevel="0" collapsed="false">
      <c r="A26" s="65"/>
      <c r="B26" s="65" t="s">
        <v>240</v>
      </c>
      <c r="C26" s="66" t="s">
        <v>360</v>
      </c>
      <c r="D26" s="67" t="s">
        <v>361</v>
      </c>
      <c r="E26" s="67" t="str">
        <f aca="false">IF(검토서!$D$69="","",검토서!$D$69&amp;"")</f>
        <v/>
      </c>
      <c r="F26" s="68"/>
    </row>
    <row r="27" customFormat="false" ht="30" hidden="false" customHeight="true" outlineLevel="0" collapsed="false">
      <c r="A27" s="65"/>
      <c r="B27" s="65"/>
      <c r="C27" s="66" t="s">
        <v>362</v>
      </c>
      <c r="D27" s="65" t="s">
        <v>363</v>
      </c>
      <c r="E27" s="67" t="str">
        <f aca="false">IF(검토서!$D$70="","",검토서!$D$70&amp;"")</f>
        <v/>
      </c>
      <c r="F27" s="68"/>
    </row>
    <row r="28" customFormat="false" ht="30" hidden="false" customHeight="true" outlineLevel="0" collapsed="false">
      <c r="A28" s="65"/>
      <c r="B28" s="65"/>
      <c r="C28" s="70" t="s">
        <v>364</v>
      </c>
      <c r="D28" s="65" t="s">
        <v>363</v>
      </c>
      <c r="E28" s="67" t="str">
        <f aca="false">IF(검토서!$D$71="","",검토서!$D$71&amp;"")</f>
        <v/>
      </c>
      <c r="F28" s="68"/>
    </row>
    <row r="29" customFormat="false" ht="30" hidden="false" customHeight="true" outlineLevel="0" collapsed="false">
      <c r="A29" s="65"/>
      <c r="B29" s="65"/>
      <c r="C29" s="70" t="s">
        <v>365</v>
      </c>
      <c r="D29" s="65" t="s">
        <v>366</v>
      </c>
      <c r="E29" s="70"/>
      <c r="F29" s="68"/>
    </row>
    <row r="30" customFormat="false" ht="30" hidden="false" customHeight="true" outlineLevel="0" collapsed="false">
      <c r="A30" s="65"/>
      <c r="B30" s="65"/>
      <c r="C30" s="66" t="s">
        <v>367</v>
      </c>
      <c r="D30" s="70"/>
      <c r="E30" s="67" t="str">
        <f aca="false">IF(검토서!$D$68&amp;검토서!$G$68="","",TRIM(검토서!$D$68&amp;IF(AND(검토서!$D$68&lt;&gt;"",검토서!$G$68&lt;&gt;"")," / ","")&amp;검토서!$G$68))</f>
        <v/>
      </c>
      <c r="F30" s="68"/>
    </row>
    <row r="31" customFormat="false" ht="30" hidden="false" customHeight="true" outlineLevel="0" collapsed="false">
      <c r="A31" s="65" t="s">
        <v>368</v>
      </c>
      <c r="B31" s="65"/>
      <c r="C31" s="66" t="s">
        <v>369</v>
      </c>
      <c r="D31" s="70"/>
      <c r="E31" s="70"/>
      <c r="F31" s="68"/>
    </row>
    <row r="32" customFormat="false" ht="30" hidden="false" customHeight="true" outlineLevel="0" collapsed="false">
      <c r="A32" s="65"/>
      <c r="B32" s="65"/>
      <c r="C32" s="70"/>
      <c r="D32" s="70"/>
      <c r="E32" s="70"/>
      <c r="F32" s="68"/>
    </row>
    <row r="34" customFormat="false" ht="24" hidden="false" customHeight="true" outlineLevel="0" collapsed="false">
      <c r="A34" s="71" t="s">
        <v>370</v>
      </c>
      <c r="B34" s="71"/>
      <c r="C34" s="72" t="str">
        <f aca="false">IF(검토서!$C$7="","",검토서!$C$7)</f>
        <v>전체 37건  ·  확인 0  ·  검토 0  ·  부적합 0  ·  미작성 37</v>
      </c>
      <c r="D34" s="72"/>
      <c r="E34" s="72"/>
      <c r="F34" s="72"/>
    </row>
    <row r="35" customFormat="false" ht="24" hidden="false" customHeight="true" outlineLevel="0" collapsed="false">
      <c r="A35" s="71"/>
      <c r="B35" s="71"/>
      <c r="C35" s="72"/>
      <c r="D35" s="72"/>
      <c r="E35" s="72"/>
      <c r="F35" s="72"/>
    </row>
    <row r="36" customFormat="false" ht="24" hidden="false" customHeight="true" outlineLevel="0" collapsed="false">
      <c r="A36" s="71"/>
      <c r="B36" s="71"/>
      <c r="C36" s="72"/>
      <c r="D36" s="72"/>
      <c r="E36" s="72"/>
      <c r="F36" s="72"/>
    </row>
  </sheetData>
  <mergeCells count="10">
    <mergeCell ref="A1:F1"/>
    <mergeCell ref="A4:B4"/>
    <mergeCell ref="A5:B14"/>
    <mergeCell ref="A15:A30"/>
    <mergeCell ref="B15:B21"/>
    <mergeCell ref="B22:B25"/>
    <mergeCell ref="B26:B30"/>
    <mergeCell ref="A31:B32"/>
    <mergeCell ref="A34:B36"/>
    <mergeCell ref="C34:F3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8" activePane="bottomLeft" state="frozen"/>
      <selection pane="topLeft" activeCell="A1" activeCellId="0" sqref="A1"/>
      <selection pane="bottomLeft" activeCell="C8" activeCellId="0" sqref="C8"/>
    </sheetView>
  </sheetViews>
  <sheetFormatPr defaultColWidth="26.00390625" defaultRowHeight="16.5" zeroHeight="false" outlineLevelRow="0" outlineLevelCol="0"/>
  <cols>
    <col collapsed="false" customWidth="true" hidden="false" outlineLevel="0" max="1" min="1" style="39" width="10.29"/>
    <col collapsed="false" customWidth="true" hidden="false" outlineLevel="0" max="2" min="2" style="39" width="13"/>
    <col collapsed="false" customWidth="true" hidden="false" outlineLevel="0" max="3" min="3" style="39" width="73.85"/>
    <col collapsed="false" customWidth="true" hidden="false" outlineLevel="0" max="4" min="4" style="39" width="9.51"/>
    <col collapsed="false" customWidth="false" hidden="false" outlineLevel="0" max="16384" min="5" style="37" width="26"/>
  </cols>
  <sheetData>
    <row r="1" customFormat="false" ht="30" hidden="false" customHeight="true" outlineLevel="0" collapsed="false">
      <c r="A1" s="73" t="s">
        <v>371</v>
      </c>
      <c r="B1" s="73"/>
      <c r="C1" s="73"/>
      <c r="D1" s="73"/>
      <c r="E1" s="73"/>
    </row>
    <row r="2" customFormat="false" ht="16.5" hidden="false" customHeight="true" outlineLevel="0" collapsed="false"/>
    <row r="3" customFormat="false" ht="30" hidden="false" customHeight="true" outlineLevel="0" collapsed="false">
      <c r="A3" s="41" t="s">
        <v>276</v>
      </c>
      <c r="B3" s="38"/>
      <c r="E3" s="39"/>
      <c r="F3" s="39"/>
      <c r="G3" s="39"/>
    </row>
    <row r="4" customFormat="false" ht="27.75" hidden="false" customHeight="true" outlineLevel="0" collapsed="false">
      <c r="A4" s="42" t="s">
        <v>277</v>
      </c>
      <c r="B4" s="42"/>
      <c r="C4" s="43" t="s">
        <v>278</v>
      </c>
      <c r="D4" s="44" t="s">
        <v>372</v>
      </c>
      <c r="E4" s="44" t="s">
        <v>325</v>
      </c>
    </row>
    <row r="5" customFormat="false" ht="39.75" hidden="false" customHeight="true" outlineLevel="0" collapsed="false">
      <c r="A5" s="74" t="s">
        <v>373</v>
      </c>
      <c r="B5" s="75" t="s">
        <v>374</v>
      </c>
      <c r="C5" s="76" t="s">
        <v>375</v>
      </c>
      <c r="D5" s="77"/>
      <c r="E5" s="78" t="str">
        <f aca="false">IFERROR("미해소 "&amp;(COUNTIF(검토서!$F$1:$F$105,"부적합")+COUNTIF(검토서!$F$1:$F$105,"검토"))&amp;"건","")</f>
        <v>미해소 0건</v>
      </c>
    </row>
    <row r="6" customFormat="false" ht="27.75" hidden="false" customHeight="true" outlineLevel="0" collapsed="false">
      <c r="A6" s="74"/>
      <c r="B6" s="75"/>
      <c r="C6" s="76" t="s">
        <v>376</v>
      </c>
      <c r="D6" s="77"/>
      <c r="E6" s="78" t="str">
        <f aca="false">IFERROR("변경 필요 "&amp;COUNTIF(설계!$E$5:$E$31,"필요")&amp;"건","")</f>
        <v>변경 필요 0건</v>
      </c>
    </row>
    <row r="7" customFormat="false" ht="27.75" hidden="false" customHeight="true" outlineLevel="0" collapsed="false">
      <c r="A7" s="74" t="s">
        <v>377</v>
      </c>
      <c r="B7" s="75" t="s">
        <v>378</v>
      </c>
      <c r="C7" s="76" t="s">
        <v>379</v>
      </c>
      <c r="D7" s="77"/>
      <c r="E7" s="79"/>
    </row>
    <row r="8" customFormat="false" ht="27.75" hidden="false" customHeight="true" outlineLevel="0" collapsed="false">
      <c r="A8" s="74"/>
      <c r="B8" s="75"/>
      <c r="C8" s="76" t="s">
        <v>380</v>
      </c>
      <c r="D8" s="77"/>
      <c r="E8" s="79"/>
    </row>
    <row r="9" customFormat="false" ht="27.75" hidden="false" customHeight="true" outlineLevel="0" collapsed="false">
      <c r="A9" s="74"/>
      <c r="B9" s="75"/>
      <c r="C9" s="76" t="s">
        <v>381</v>
      </c>
      <c r="D9" s="77"/>
      <c r="E9" s="79"/>
    </row>
    <row r="10" customFormat="false" ht="27.75" hidden="false" customHeight="true" outlineLevel="0" collapsed="false">
      <c r="A10" s="74"/>
      <c r="B10" s="75"/>
      <c r="C10" s="76" t="s">
        <v>382</v>
      </c>
      <c r="D10" s="77"/>
      <c r="E10" s="79"/>
    </row>
    <row r="11" customFormat="false" ht="27.75" hidden="false" customHeight="true" outlineLevel="0" collapsed="false">
      <c r="A11" s="74"/>
      <c r="B11" s="65" t="s">
        <v>383</v>
      </c>
      <c r="C11" s="76" t="s">
        <v>384</v>
      </c>
      <c r="D11" s="77"/>
      <c r="E11" s="79"/>
    </row>
    <row r="12" customFormat="false" ht="39.75" hidden="false" customHeight="true" outlineLevel="0" collapsed="false">
      <c r="A12" s="74"/>
      <c r="B12" s="65"/>
      <c r="C12" s="76" t="s">
        <v>385</v>
      </c>
      <c r="D12" s="77"/>
      <c r="E12" s="79"/>
    </row>
    <row r="13" customFormat="false" ht="39.75" hidden="false" customHeight="true" outlineLevel="0" collapsed="false">
      <c r="A13" s="74"/>
      <c r="B13" s="65"/>
      <c r="C13" s="76" t="s">
        <v>386</v>
      </c>
      <c r="D13" s="77"/>
      <c r="E13" s="79"/>
    </row>
    <row r="14" customFormat="false" ht="27.75" hidden="false" customHeight="true" outlineLevel="0" collapsed="false">
      <c r="A14" s="74"/>
      <c r="B14" s="65"/>
      <c r="C14" s="76" t="s">
        <v>387</v>
      </c>
      <c r="D14" s="77"/>
      <c r="E14" s="79"/>
    </row>
    <row r="15" customFormat="false" ht="27.75" hidden="false" customHeight="true" outlineLevel="0" collapsed="false">
      <c r="A15" s="74"/>
      <c r="B15" s="65"/>
      <c r="C15" s="76" t="s">
        <v>388</v>
      </c>
      <c r="D15" s="77"/>
      <c r="E15" s="79"/>
    </row>
    <row r="16" customFormat="false" ht="27.75" hidden="false" customHeight="true" outlineLevel="0" collapsed="false">
      <c r="A16" s="74"/>
      <c r="B16" s="65" t="s">
        <v>389</v>
      </c>
      <c r="C16" s="76" t="s">
        <v>390</v>
      </c>
      <c r="D16" s="77"/>
      <c r="E16" s="79"/>
    </row>
    <row r="17" customFormat="false" ht="27.75" hidden="false" customHeight="true" outlineLevel="0" collapsed="false">
      <c r="A17" s="74"/>
      <c r="B17" s="65"/>
      <c r="C17" s="76" t="s">
        <v>391</v>
      </c>
      <c r="D17" s="77"/>
      <c r="E17" s="79"/>
    </row>
    <row r="18" customFormat="false" ht="27.75" hidden="false" customHeight="true" outlineLevel="0" collapsed="false">
      <c r="A18" s="74"/>
      <c r="B18" s="65" t="s">
        <v>392</v>
      </c>
      <c r="C18" s="76" t="s">
        <v>393</v>
      </c>
      <c r="D18" s="77"/>
      <c r="E18" s="79"/>
    </row>
    <row r="19" customFormat="false" ht="27.75" hidden="false" customHeight="true" outlineLevel="0" collapsed="false">
      <c r="A19" s="74" t="s">
        <v>394</v>
      </c>
      <c r="B19" s="75" t="s">
        <v>395</v>
      </c>
      <c r="C19" s="76" t="s">
        <v>396</v>
      </c>
      <c r="D19" s="77"/>
      <c r="E19" s="79"/>
    </row>
    <row r="20" customFormat="false" ht="27.75" hidden="false" customHeight="true" outlineLevel="0" collapsed="false">
      <c r="A20" s="74"/>
      <c r="B20" s="65" t="s">
        <v>397</v>
      </c>
      <c r="C20" s="76" t="s">
        <v>398</v>
      </c>
      <c r="D20" s="77"/>
      <c r="E20" s="79"/>
    </row>
    <row r="21" customFormat="false" ht="27.75" hidden="false" customHeight="true" outlineLevel="0" collapsed="false">
      <c r="A21" s="74"/>
      <c r="B21" s="65" t="s">
        <v>399</v>
      </c>
      <c r="C21" s="76" t="s">
        <v>400</v>
      </c>
      <c r="D21" s="77"/>
      <c r="E21" s="79"/>
    </row>
    <row r="22" customFormat="false" ht="27.75" hidden="false" customHeight="true" outlineLevel="0" collapsed="false">
      <c r="A22" s="74" t="s">
        <v>401</v>
      </c>
      <c r="B22" s="75" t="s">
        <v>402</v>
      </c>
      <c r="C22" s="76" t="s">
        <v>403</v>
      </c>
      <c r="D22" s="77"/>
      <c r="E22" s="79"/>
    </row>
    <row r="23" customFormat="false" ht="27.75" hidden="false" customHeight="true" outlineLevel="0" collapsed="false">
      <c r="A23" s="74"/>
      <c r="B23" s="65" t="s">
        <v>404</v>
      </c>
      <c r="C23" s="76" t="s">
        <v>405</v>
      </c>
      <c r="D23" s="77"/>
      <c r="E23" s="79"/>
    </row>
    <row r="24" customFormat="false" ht="37.5" hidden="false" customHeight="true" outlineLevel="0" collapsed="false">
      <c r="A24" s="80" t="s">
        <v>406</v>
      </c>
      <c r="B24" s="75" t="s">
        <v>407</v>
      </c>
      <c r="C24" s="76" t="s">
        <v>408</v>
      </c>
      <c r="D24" s="77"/>
      <c r="E24" s="79"/>
    </row>
    <row r="25" customFormat="false" ht="27.75" hidden="false" customHeight="true" outlineLevel="0" collapsed="false">
      <c r="A25" s="80"/>
      <c r="B25" s="65" t="s">
        <v>397</v>
      </c>
      <c r="C25" s="76" t="s">
        <v>409</v>
      </c>
      <c r="D25" s="77"/>
      <c r="E25" s="79"/>
    </row>
    <row r="26" customFormat="false" ht="39.75" hidden="false" customHeight="true" outlineLevel="0" collapsed="false">
      <c r="A26" s="80"/>
      <c r="B26" s="81" t="s">
        <v>410</v>
      </c>
      <c r="C26" s="82" t="s">
        <v>411</v>
      </c>
      <c r="D26" s="83"/>
      <c r="E26" s="84"/>
    </row>
  </sheetData>
  <mergeCells count="11">
    <mergeCell ref="A1:E1"/>
    <mergeCell ref="A4:B4"/>
    <mergeCell ref="A5:A6"/>
    <mergeCell ref="B5:B6"/>
    <mergeCell ref="A7:A18"/>
    <mergeCell ref="B7:B10"/>
    <mergeCell ref="B11:B15"/>
    <mergeCell ref="B16:B17"/>
    <mergeCell ref="A19:A21"/>
    <mergeCell ref="A22:A23"/>
    <mergeCell ref="A24:A26"/>
  </mergeCells>
  <dataValidations count="1">
    <dataValidation allowBlank="true" errorStyle="stop" operator="between" showDropDown="false" showErrorMessage="false" showInputMessage="false" sqref="D5:D26" type="list">
      <formula1>"○,×,N/A"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9" activeCellId="0" sqref="B19"/>
    </sheetView>
  </sheetViews>
  <sheetFormatPr defaultColWidth="9.1484375" defaultRowHeight="16.5" zeroHeight="false" outlineLevelRow="0" outlineLevelCol="0"/>
  <cols>
    <col collapsed="false" customWidth="true" hidden="false" outlineLevel="0" max="1" min="1" style="39" width="10.29"/>
    <col collapsed="false" customWidth="true" hidden="false" outlineLevel="0" max="2" min="2" style="39" width="14.86"/>
    <col collapsed="false" customWidth="true" hidden="false" outlineLevel="0" max="3" min="3" style="39" width="73"/>
    <col collapsed="false" customWidth="false" hidden="false" outlineLevel="0" max="4" min="4" style="39" width="9.14"/>
    <col collapsed="false" customWidth="true" hidden="false" outlineLevel="0" max="5" min="5" style="39" width="18.29"/>
    <col collapsed="false" customWidth="false" hidden="false" outlineLevel="0" max="16384" min="6" style="37" width="9.14"/>
  </cols>
  <sheetData>
    <row r="1" customFormat="false" ht="30" hidden="false" customHeight="true" outlineLevel="0" collapsed="false">
      <c r="A1" s="85" t="s">
        <v>412</v>
      </c>
      <c r="B1" s="85"/>
      <c r="C1" s="85"/>
      <c r="D1" s="85"/>
      <c r="E1" s="85"/>
    </row>
    <row r="2" customFormat="false" ht="16.5" hidden="false" customHeight="true" outlineLevel="0" collapsed="false">
      <c r="E2" s="37"/>
    </row>
    <row r="3" customFormat="false" ht="30" hidden="false" customHeight="true" outlineLevel="0" collapsed="false">
      <c r="A3" s="41" t="s">
        <v>276</v>
      </c>
      <c r="B3" s="38"/>
      <c r="F3" s="39"/>
      <c r="G3" s="39"/>
    </row>
    <row r="4" customFormat="false" ht="27.75" hidden="false" customHeight="true" outlineLevel="0" collapsed="false">
      <c r="A4" s="42" t="s">
        <v>277</v>
      </c>
      <c r="B4" s="43"/>
      <c r="C4" s="43" t="s">
        <v>278</v>
      </c>
      <c r="D4" s="43" t="s">
        <v>372</v>
      </c>
      <c r="E4" s="44" t="s">
        <v>325</v>
      </c>
    </row>
    <row r="5" customFormat="false" ht="37.5" hidden="false" customHeight="true" outlineLevel="0" collapsed="false">
      <c r="A5" s="74" t="s">
        <v>413</v>
      </c>
      <c r="B5" s="75" t="s">
        <v>414</v>
      </c>
      <c r="C5" s="76" t="s">
        <v>415</v>
      </c>
      <c r="D5" s="67"/>
      <c r="E5" s="78" t="str">
        <f aca="false">"미완료 "&amp;COUNTIF(시공!$D$5:$D$26,"×")&amp;"건"</f>
        <v>미완료 0건</v>
      </c>
    </row>
    <row r="6" customFormat="false" ht="27.75" hidden="false" customHeight="true" outlineLevel="0" collapsed="false">
      <c r="A6" s="74"/>
      <c r="B6" s="65" t="s">
        <v>416</v>
      </c>
      <c r="C6" s="76" t="s">
        <v>417</v>
      </c>
      <c r="D6" s="67"/>
      <c r="E6" s="79"/>
    </row>
    <row r="7" customFormat="false" ht="27.75" hidden="false" customHeight="true" outlineLevel="0" collapsed="false">
      <c r="A7" s="74"/>
      <c r="B7" s="65"/>
      <c r="C7" s="76" t="s">
        <v>418</v>
      </c>
      <c r="D7" s="67"/>
      <c r="E7" s="79"/>
    </row>
    <row r="8" customFormat="false" ht="27.75" hidden="false" customHeight="true" outlineLevel="0" collapsed="false">
      <c r="A8" s="74"/>
      <c r="B8" s="65" t="s">
        <v>419</v>
      </c>
      <c r="C8" s="76" t="s">
        <v>420</v>
      </c>
      <c r="D8" s="67"/>
      <c r="E8" s="79"/>
    </row>
    <row r="9" customFormat="false" ht="27.75" hidden="false" customHeight="true" outlineLevel="0" collapsed="false">
      <c r="A9" s="74"/>
      <c r="B9" s="65"/>
      <c r="C9" s="76" t="s">
        <v>421</v>
      </c>
      <c r="D9" s="67"/>
      <c r="E9" s="79"/>
    </row>
    <row r="10" customFormat="false" ht="37.5" hidden="false" customHeight="true" outlineLevel="0" collapsed="false">
      <c r="A10" s="74"/>
      <c r="B10" s="65" t="s">
        <v>422</v>
      </c>
      <c r="C10" s="76" t="s">
        <v>423</v>
      </c>
      <c r="D10" s="67"/>
      <c r="E10" s="79"/>
    </row>
    <row r="11" customFormat="false" ht="27.75" hidden="false" customHeight="true" outlineLevel="0" collapsed="false">
      <c r="A11" s="74" t="s">
        <v>424</v>
      </c>
      <c r="B11" s="75" t="s">
        <v>425</v>
      </c>
      <c r="C11" s="76" t="s">
        <v>426</v>
      </c>
      <c r="D11" s="67"/>
      <c r="E11" s="79"/>
    </row>
    <row r="12" customFormat="false" ht="27.75" hidden="false" customHeight="true" outlineLevel="0" collapsed="false">
      <c r="A12" s="74"/>
      <c r="B12" s="75"/>
      <c r="C12" s="76" t="s">
        <v>427</v>
      </c>
      <c r="D12" s="67"/>
      <c r="E12" s="79"/>
    </row>
    <row r="13" customFormat="false" ht="27.75" hidden="false" customHeight="true" outlineLevel="0" collapsed="false">
      <c r="A13" s="74"/>
      <c r="B13" s="75"/>
      <c r="C13" s="76" t="s">
        <v>428</v>
      </c>
      <c r="D13" s="67"/>
      <c r="E13" s="79"/>
    </row>
    <row r="14" customFormat="false" ht="27.75" hidden="false" customHeight="true" outlineLevel="0" collapsed="false">
      <c r="A14" s="74"/>
      <c r="B14" s="65" t="s">
        <v>429</v>
      </c>
      <c r="C14" s="76" t="s">
        <v>430</v>
      </c>
      <c r="D14" s="67"/>
      <c r="E14" s="79"/>
    </row>
    <row r="15" customFormat="false" ht="27.75" hidden="false" customHeight="true" outlineLevel="0" collapsed="false">
      <c r="A15" s="74"/>
      <c r="B15" s="65"/>
      <c r="C15" s="76" t="s">
        <v>431</v>
      </c>
      <c r="D15" s="67"/>
      <c r="E15" s="79"/>
    </row>
    <row r="16" customFormat="false" ht="27.75" hidden="false" customHeight="true" outlineLevel="0" collapsed="false">
      <c r="A16" s="74"/>
      <c r="B16" s="65"/>
      <c r="C16" s="76" t="s">
        <v>432</v>
      </c>
      <c r="D16" s="67"/>
      <c r="E16" s="79"/>
    </row>
    <row r="17" customFormat="false" ht="27.75" hidden="false" customHeight="true" outlineLevel="0" collapsed="false">
      <c r="A17" s="74" t="s">
        <v>433</v>
      </c>
      <c r="B17" s="75" t="s">
        <v>434</v>
      </c>
      <c r="C17" s="76" t="s">
        <v>435</v>
      </c>
      <c r="D17" s="67"/>
      <c r="E17" s="79"/>
    </row>
    <row r="18" customFormat="false" ht="27.75" hidden="false" customHeight="true" outlineLevel="0" collapsed="false">
      <c r="A18" s="74"/>
      <c r="B18" s="75"/>
      <c r="C18" s="76" t="s">
        <v>436</v>
      </c>
      <c r="D18" s="67"/>
      <c r="E18" s="79"/>
    </row>
    <row r="19" customFormat="false" ht="27.75" hidden="false" customHeight="true" outlineLevel="0" collapsed="false">
      <c r="A19" s="74"/>
      <c r="B19" s="75"/>
      <c r="C19" s="76" t="s">
        <v>437</v>
      </c>
      <c r="D19" s="67"/>
      <c r="E19" s="79"/>
    </row>
    <row r="20" customFormat="false" ht="27.75" hidden="false" customHeight="true" outlineLevel="0" collapsed="false">
      <c r="A20" s="74"/>
      <c r="B20" s="65" t="s">
        <v>438</v>
      </c>
      <c r="C20" s="76" t="s">
        <v>439</v>
      </c>
      <c r="D20" s="67"/>
      <c r="E20" s="79"/>
    </row>
    <row r="21" customFormat="false" ht="27.75" hidden="false" customHeight="true" outlineLevel="0" collapsed="false">
      <c r="A21" s="74"/>
      <c r="B21" s="65"/>
      <c r="C21" s="76" t="s">
        <v>440</v>
      </c>
      <c r="D21" s="67"/>
      <c r="E21" s="79"/>
    </row>
    <row r="22" customFormat="false" ht="27.75" hidden="false" customHeight="true" outlineLevel="0" collapsed="false">
      <c r="A22" s="74"/>
      <c r="B22" s="65"/>
      <c r="C22" s="76" t="s">
        <v>441</v>
      </c>
      <c r="D22" s="67"/>
      <c r="E22" s="79"/>
    </row>
    <row r="23" customFormat="false" ht="27.75" hidden="false" customHeight="true" outlineLevel="0" collapsed="false">
      <c r="A23" s="74"/>
      <c r="B23" s="65"/>
      <c r="C23" s="76" t="s">
        <v>442</v>
      </c>
      <c r="D23" s="67"/>
      <c r="E23" s="79"/>
    </row>
    <row r="24" customFormat="false" ht="27.75" hidden="false" customHeight="true" outlineLevel="0" collapsed="false">
      <c r="A24" s="74" t="s">
        <v>443</v>
      </c>
      <c r="B24" s="75" t="s">
        <v>444</v>
      </c>
      <c r="C24" s="76" t="s">
        <v>445</v>
      </c>
      <c r="D24" s="67"/>
      <c r="E24" s="79"/>
    </row>
    <row r="25" customFormat="false" ht="27.75" hidden="false" customHeight="true" outlineLevel="0" collapsed="false">
      <c r="A25" s="74"/>
      <c r="B25" s="75"/>
      <c r="C25" s="76" t="s">
        <v>446</v>
      </c>
      <c r="D25" s="67"/>
      <c r="E25" s="79"/>
    </row>
    <row r="26" customFormat="false" ht="27.75" hidden="false" customHeight="true" outlineLevel="0" collapsed="false">
      <c r="A26" s="74"/>
      <c r="B26" s="65" t="s">
        <v>447</v>
      </c>
      <c r="C26" s="76" t="s">
        <v>448</v>
      </c>
      <c r="D26" s="67"/>
      <c r="E26" s="79"/>
    </row>
    <row r="27" customFormat="false" ht="27.75" hidden="false" customHeight="true" outlineLevel="0" collapsed="false">
      <c r="A27" s="74"/>
      <c r="B27" s="65"/>
      <c r="C27" s="76" t="s">
        <v>449</v>
      </c>
      <c r="D27" s="67"/>
      <c r="E27" s="79"/>
    </row>
    <row r="28" customFormat="false" ht="27.75" hidden="false" customHeight="true" outlineLevel="0" collapsed="false">
      <c r="A28" s="74"/>
      <c r="B28" s="65"/>
      <c r="C28" s="76" t="s">
        <v>450</v>
      </c>
      <c r="D28" s="67"/>
      <c r="E28" s="79"/>
    </row>
    <row r="29" customFormat="false" ht="27.75" hidden="false" customHeight="true" outlineLevel="0" collapsed="false">
      <c r="A29" s="74"/>
      <c r="B29" s="65"/>
      <c r="C29" s="76" t="s">
        <v>451</v>
      </c>
      <c r="D29" s="67"/>
      <c r="E29" s="79"/>
    </row>
    <row r="30" customFormat="false" ht="27.75" hidden="false" customHeight="true" outlineLevel="0" collapsed="false">
      <c r="A30" s="74"/>
      <c r="B30" s="65"/>
      <c r="C30" s="76" t="s">
        <v>452</v>
      </c>
      <c r="D30" s="67"/>
      <c r="E30" s="79"/>
    </row>
    <row r="31" customFormat="false" ht="27.75" hidden="false" customHeight="true" outlineLevel="0" collapsed="false">
      <c r="A31" s="74" t="s">
        <v>453</v>
      </c>
      <c r="B31" s="75" t="s">
        <v>454</v>
      </c>
      <c r="C31" s="76" t="s">
        <v>455</v>
      </c>
      <c r="D31" s="67"/>
      <c r="E31" s="79"/>
    </row>
    <row r="32" customFormat="false" ht="27.75" hidden="false" customHeight="true" outlineLevel="0" collapsed="false">
      <c r="A32" s="74"/>
      <c r="B32" s="75"/>
      <c r="C32" s="76" t="s">
        <v>456</v>
      </c>
      <c r="D32" s="67"/>
      <c r="E32" s="79"/>
    </row>
    <row r="33" customFormat="false" ht="27.75" hidden="false" customHeight="true" outlineLevel="0" collapsed="false">
      <c r="A33" s="74"/>
      <c r="B33" s="65" t="s">
        <v>457</v>
      </c>
      <c r="C33" s="76" t="s">
        <v>458</v>
      </c>
      <c r="D33" s="67"/>
      <c r="E33" s="79"/>
    </row>
    <row r="34" customFormat="false" ht="27.75" hidden="false" customHeight="true" outlineLevel="0" collapsed="false">
      <c r="A34" s="74"/>
      <c r="B34" s="65"/>
      <c r="C34" s="76" t="s">
        <v>459</v>
      </c>
      <c r="D34" s="67"/>
      <c r="E34" s="79"/>
    </row>
    <row r="35" customFormat="false" ht="27.75" hidden="false" customHeight="true" outlineLevel="0" collapsed="false">
      <c r="A35" s="74"/>
      <c r="B35" s="65"/>
      <c r="C35" s="76" t="s">
        <v>460</v>
      </c>
      <c r="D35" s="67"/>
      <c r="E35" s="79"/>
    </row>
    <row r="36" customFormat="false" ht="27.75" hidden="false" customHeight="true" outlineLevel="0" collapsed="false">
      <c r="A36" s="74"/>
      <c r="B36" s="65"/>
      <c r="C36" s="76" t="s">
        <v>461</v>
      </c>
      <c r="D36" s="67"/>
      <c r="E36" s="79"/>
    </row>
    <row r="37" customFormat="false" ht="27.75" hidden="false" customHeight="true" outlineLevel="0" collapsed="false">
      <c r="A37" s="74"/>
      <c r="B37" s="65"/>
      <c r="C37" s="76" t="s">
        <v>462</v>
      </c>
      <c r="D37" s="67"/>
      <c r="E37" s="79"/>
    </row>
    <row r="38" customFormat="false" ht="27.75" hidden="false" customHeight="true" outlineLevel="0" collapsed="false">
      <c r="A38" s="74"/>
      <c r="B38" s="65" t="s">
        <v>463</v>
      </c>
      <c r="C38" s="76" t="s">
        <v>464</v>
      </c>
      <c r="D38" s="67"/>
      <c r="E38" s="79"/>
    </row>
    <row r="39" customFormat="false" ht="27.75" hidden="false" customHeight="true" outlineLevel="0" collapsed="false">
      <c r="A39" s="74" t="s">
        <v>465</v>
      </c>
      <c r="B39" s="75" t="s">
        <v>466</v>
      </c>
      <c r="C39" s="76" t="s">
        <v>467</v>
      </c>
      <c r="D39" s="67"/>
      <c r="E39" s="79"/>
    </row>
    <row r="40" customFormat="false" ht="39.75" hidden="false" customHeight="true" outlineLevel="0" collapsed="false">
      <c r="A40" s="74"/>
      <c r="B40" s="65" t="s">
        <v>55</v>
      </c>
      <c r="C40" s="76" t="s">
        <v>468</v>
      </c>
      <c r="D40" s="67"/>
      <c r="E40" s="79"/>
    </row>
    <row r="41" customFormat="false" ht="27.75" hidden="false" customHeight="true" outlineLevel="0" collapsed="false">
      <c r="A41" s="74"/>
      <c r="B41" s="65"/>
      <c r="C41" s="76" t="s">
        <v>469</v>
      </c>
      <c r="D41" s="67"/>
      <c r="E41" s="79"/>
    </row>
    <row r="42" customFormat="false" ht="27.75" hidden="false" customHeight="true" outlineLevel="0" collapsed="false">
      <c r="A42" s="80" t="s">
        <v>470</v>
      </c>
      <c r="B42" s="75" t="s">
        <v>471</v>
      </c>
      <c r="C42" s="76" t="s">
        <v>472</v>
      </c>
      <c r="D42" s="67"/>
      <c r="E42" s="79"/>
    </row>
    <row r="43" customFormat="false" ht="27.75" hidden="false" customHeight="true" outlineLevel="0" collapsed="false">
      <c r="A43" s="80"/>
      <c r="B43" s="75"/>
      <c r="C43" s="76" t="s">
        <v>473</v>
      </c>
      <c r="D43" s="67"/>
      <c r="E43" s="79"/>
    </row>
    <row r="44" customFormat="false" ht="27.75" hidden="false" customHeight="true" outlineLevel="0" collapsed="false">
      <c r="A44" s="80"/>
      <c r="B44" s="75"/>
      <c r="C44" s="76" t="s">
        <v>474</v>
      </c>
      <c r="D44" s="67"/>
      <c r="E44" s="79"/>
    </row>
    <row r="45" customFormat="false" ht="27.75" hidden="false" customHeight="true" outlineLevel="0" collapsed="false">
      <c r="A45" s="80"/>
      <c r="B45" s="81" t="s">
        <v>475</v>
      </c>
      <c r="C45" s="76" t="s">
        <v>476</v>
      </c>
      <c r="D45" s="67"/>
      <c r="E45" s="79"/>
    </row>
    <row r="46" customFormat="false" ht="27.75" hidden="false" customHeight="true" outlineLevel="0" collapsed="false">
      <c r="A46" s="80"/>
      <c r="B46" s="81"/>
      <c r="C46" s="76" t="s">
        <v>477</v>
      </c>
      <c r="D46" s="67"/>
      <c r="E46" s="79"/>
    </row>
    <row r="47" customFormat="false" ht="39.75" hidden="false" customHeight="true" outlineLevel="0" collapsed="false">
      <c r="A47" s="80"/>
      <c r="B47" s="81"/>
      <c r="C47" s="82" t="s">
        <v>478</v>
      </c>
      <c r="D47" s="86"/>
      <c r="E47" s="84"/>
    </row>
  </sheetData>
  <mergeCells count="21">
    <mergeCell ref="A1:E1"/>
    <mergeCell ref="A5:A10"/>
    <mergeCell ref="B6:B7"/>
    <mergeCell ref="B8:B9"/>
    <mergeCell ref="A11:A16"/>
    <mergeCell ref="B11:B13"/>
    <mergeCell ref="B14:B16"/>
    <mergeCell ref="A17:A23"/>
    <mergeCell ref="B17:B19"/>
    <mergeCell ref="B20:B23"/>
    <mergeCell ref="A24:A30"/>
    <mergeCell ref="B24:B25"/>
    <mergeCell ref="B26:B30"/>
    <mergeCell ref="A31:A38"/>
    <mergeCell ref="B31:B32"/>
    <mergeCell ref="B33:B37"/>
    <mergeCell ref="A39:A41"/>
    <mergeCell ref="B40:B41"/>
    <mergeCell ref="A42:A47"/>
    <mergeCell ref="B42:B44"/>
    <mergeCell ref="B45:B47"/>
  </mergeCells>
  <dataValidations count="1">
    <dataValidation allowBlank="true" errorStyle="stop" operator="between" showDropDown="false" showErrorMessage="false" showInputMessage="false" sqref="D5:D47" type="list">
      <formula1>"○,×,N/A"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87" t="s">
        <v>2</v>
      </c>
      <c r="B1" s="87" t="s">
        <v>143</v>
      </c>
      <c r="C1" s="88" t="s">
        <v>479</v>
      </c>
      <c r="D1" s="88" t="s">
        <v>480</v>
      </c>
      <c r="E1" s="88" t="s">
        <v>481</v>
      </c>
    </row>
    <row r="2" customFormat="false" ht="29.85" hidden="false" customHeight="false" outlineLevel="0" collapsed="false">
      <c r="A2" s="89" t="s">
        <v>9</v>
      </c>
      <c r="B2" s="89" t="s">
        <v>482</v>
      </c>
      <c r="C2" s="90" t="s">
        <v>483</v>
      </c>
      <c r="D2" s="90" t="s">
        <v>484</v>
      </c>
      <c r="E2" s="90" t="s">
        <v>485</v>
      </c>
    </row>
    <row r="3" customFormat="false" ht="29.85" hidden="false" customHeight="false" outlineLevel="0" collapsed="false">
      <c r="A3" s="89" t="s">
        <v>9</v>
      </c>
      <c r="B3" s="89" t="s">
        <v>486</v>
      </c>
      <c r="C3" s="90" t="s">
        <v>487</v>
      </c>
      <c r="D3" s="90" t="s">
        <v>488</v>
      </c>
      <c r="E3" s="90" t="s">
        <v>489</v>
      </c>
    </row>
    <row r="4" customFormat="false" ht="29.85" hidden="false" customHeight="false" outlineLevel="0" collapsed="false">
      <c r="A4" s="89" t="s">
        <v>9</v>
      </c>
      <c r="B4" s="89" t="s">
        <v>490</v>
      </c>
      <c r="C4" s="90" t="s">
        <v>491</v>
      </c>
      <c r="D4" s="90" t="s">
        <v>492</v>
      </c>
      <c r="E4" s="90" t="s">
        <v>493</v>
      </c>
    </row>
    <row r="5" customFormat="false" ht="29.85" hidden="false" customHeight="false" outlineLevel="0" collapsed="false">
      <c r="A5" s="89" t="s">
        <v>9</v>
      </c>
      <c r="B5" s="89" t="s">
        <v>490</v>
      </c>
      <c r="C5" s="90" t="s">
        <v>494</v>
      </c>
      <c r="D5" s="90" t="s">
        <v>495</v>
      </c>
      <c r="E5" s="90" t="s">
        <v>496</v>
      </c>
    </row>
    <row r="6" customFormat="false" ht="15" hidden="false" customHeight="false" outlineLevel="0" collapsed="false">
      <c r="A6" s="89" t="s">
        <v>9</v>
      </c>
      <c r="B6" s="89" t="s">
        <v>497</v>
      </c>
      <c r="C6" s="90" t="s">
        <v>498</v>
      </c>
      <c r="D6" s="90" t="s">
        <v>499</v>
      </c>
      <c r="E6" s="90" t="s">
        <v>500</v>
      </c>
    </row>
    <row r="7" customFormat="false" ht="15" hidden="false" customHeight="false" outlineLevel="0" collapsed="false">
      <c r="A7" s="89" t="s">
        <v>9</v>
      </c>
      <c r="B7" s="89" t="s">
        <v>497</v>
      </c>
      <c r="C7" s="90" t="s">
        <v>501</v>
      </c>
      <c r="D7" s="90" t="s">
        <v>502</v>
      </c>
      <c r="E7" s="90" t="s">
        <v>500</v>
      </c>
    </row>
    <row r="8" customFormat="false" ht="29.85" hidden="false" customHeight="false" outlineLevel="0" collapsed="false">
      <c r="A8" s="89" t="s">
        <v>9</v>
      </c>
      <c r="B8" s="89" t="s">
        <v>503</v>
      </c>
      <c r="C8" s="90" t="s">
        <v>504</v>
      </c>
      <c r="D8" s="90" t="s">
        <v>505</v>
      </c>
      <c r="E8" s="90" t="s">
        <v>506</v>
      </c>
    </row>
    <row r="9" customFormat="false" ht="15" hidden="false" customHeight="false" outlineLevel="0" collapsed="false">
      <c r="A9" s="89" t="s">
        <v>507</v>
      </c>
      <c r="B9" s="89" t="s">
        <v>508</v>
      </c>
      <c r="C9" s="90" t="s">
        <v>509</v>
      </c>
      <c r="D9" s="90" t="s">
        <v>510</v>
      </c>
      <c r="E9" s="90" t="s">
        <v>511</v>
      </c>
    </row>
    <row r="10" customFormat="false" ht="15" hidden="false" customHeight="false" outlineLevel="0" collapsed="false">
      <c r="A10" s="89" t="s">
        <v>507</v>
      </c>
      <c r="B10" s="89" t="s">
        <v>512</v>
      </c>
      <c r="C10" s="90" t="s">
        <v>513</v>
      </c>
      <c r="D10" s="90" t="s">
        <v>514</v>
      </c>
      <c r="E10" s="90" t="s">
        <v>515</v>
      </c>
    </row>
    <row r="11" customFormat="false" ht="29.85" hidden="false" customHeight="false" outlineLevel="0" collapsed="false">
      <c r="A11" s="89" t="s">
        <v>507</v>
      </c>
      <c r="B11" s="89" t="s">
        <v>490</v>
      </c>
      <c r="C11" s="90" t="s">
        <v>516</v>
      </c>
      <c r="D11" s="90" t="s">
        <v>517</v>
      </c>
      <c r="E11" s="90" t="s">
        <v>518</v>
      </c>
    </row>
    <row r="12" customFormat="false" ht="15" hidden="false" customHeight="false" outlineLevel="0" collapsed="false">
      <c r="A12" s="89" t="s">
        <v>507</v>
      </c>
      <c r="B12" s="89" t="s">
        <v>490</v>
      </c>
      <c r="C12" s="90" t="s">
        <v>519</v>
      </c>
      <c r="D12" s="90" t="s">
        <v>520</v>
      </c>
      <c r="E12" s="90" t="s">
        <v>521</v>
      </c>
    </row>
    <row r="13" customFormat="false" ht="15" hidden="false" customHeight="false" outlineLevel="0" collapsed="false">
      <c r="A13" s="89" t="s">
        <v>507</v>
      </c>
      <c r="B13" s="89" t="s">
        <v>522</v>
      </c>
      <c r="C13" s="90" t="s">
        <v>523</v>
      </c>
      <c r="D13" s="90" t="s">
        <v>524</v>
      </c>
      <c r="E13" s="90" t="s">
        <v>525</v>
      </c>
    </row>
    <row r="14" customFormat="false" ht="15" hidden="false" customHeight="false" outlineLevel="0" collapsed="false">
      <c r="A14" s="89" t="s">
        <v>526</v>
      </c>
      <c r="B14" s="89" t="s">
        <v>527</v>
      </c>
      <c r="C14" s="90" t="s">
        <v>8</v>
      </c>
      <c r="D14" s="90" t="s">
        <v>528</v>
      </c>
      <c r="E14" s="90" t="s">
        <v>529</v>
      </c>
    </row>
    <row r="15" customFormat="false" ht="15" hidden="false" customHeight="false" outlineLevel="0" collapsed="false">
      <c r="A15" s="89" t="s">
        <v>526</v>
      </c>
      <c r="B15" s="89" t="s">
        <v>490</v>
      </c>
      <c r="C15" s="90" t="s">
        <v>530</v>
      </c>
      <c r="D15" s="90" t="s">
        <v>531</v>
      </c>
      <c r="E15" s="90" t="s">
        <v>532</v>
      </c>
    </row>
    <row r="16" customFormat="false" ht="29.85" hidden="false" customHeight="false" outlineLevel="0" collapsed="false">
      <c r="A16" s="89" t="s">
        <v>526</v>
      </c>
      <c r="B16" s="89" t="s">
        <v>490</v>
      </c>
      <c r="C16" s="90" t="s">
        <v>533</v>
      </c>
      <c r="D16" s="90" t="s">
        <v>534</v>
      </c>
      <c r="E16" s="90" t="s">
        <v>535</v>
      </c>
    </row>
    <row r="17" customFormat="false" ht="15" hidden="false" customHeight="false" outlineLevel="0" collapsed="false">
      <c r="A17" s="89" t="s">
        <v>536</v>
      </c>
      <c r="B17" s="89" t="s">
        <v>537</v>
      </c>
      <c r="C17" s="90" t="s">
        <v>8</v>
      </c>
      <c r="D17" s="90" t="s">
        <v>538</v>
      </c>
      <c r="E17" s="90" t="s">
        <v>539</v>
      </c>
    </row>
    <row r="18" customFormat="false" ht="29.85" hidden="false" customHeight="false" outlineLevel="0" collapsed="false">
      <c r="A18" s="89" t="s">
        <v>540</v>
      </c>
      <c r="B18" s="89" t="s">
        <v>537</v>
      </c>
      <c r="C18" s="90" t="s">
        <v>8</v>
      </c>
      <c r="D18" s="90" t="s">
        <v>541</v>
      </c>
      <c r="E18" s="90" t="s">
        <v>542</v>
      </c>
    </row>
    <row r="19" customFormat="false" ht="44" hidden="false" customHeight="false" outlineLevel="0" collapsed="false">
      <c r="A19" s="89" t="s">
        <v>9</v>
      </c>
      <c r="B19" s="89" t="s">
        <v>543</v>
      </c>
      <c r="C19" s="90" t="s">
        <v>544</v>
      </c>
      <c r="D19" s="90" t="s">
        <v>545</v>
      </c>
      <c r="E19" s="90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2026-09-11T09:00:15Z</dcterms:created>
  <dc:creator>openpyxl</dc:creator>
  <dc:description/>
  <dc:language>en-US</dc:language>
  <cp:lastModifiedBy/>
  <cp:lastPrinted>2026-09-17T00:58:39Z</cp:lastPrinted>
  <dcterms:modified xsi:type="dcterms:W3CDTF">2026-10-21T23:41:27Z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